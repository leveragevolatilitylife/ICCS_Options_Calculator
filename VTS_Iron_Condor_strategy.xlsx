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0023b5393a4cbf7/文件/私人/Research/槓桿低波策略/Options/"/>
    </mc:Choice>
  </mc:AlternateContent>
  <xr:revisionPtr revIDLastSave="5" documentId="13_ncr:1_{B52C6A47-3491-41B8-A7C0-A1EF4207AA0F}" xr6:coauthVersionLast="47" xr6:coauthVersionMax="47" xr10:uidLastSave="{52F9EEBE-2AB2-4274-8BB9-B2CF8D654856}"/>
  <bookViews>
    <workbookView xWindow="-98" yWindow="-98" windowWidth="21795" windowHeight="13875" xr2:uid="{E5885415-119C-814A-8DF0-43BBE85569FC}"/>
  </bookViews>
  <sheets>
    <sheet name="IB Option Paper Trade" sheetId="2" r:id="rId1"/>
    <sheet name="VTS Iron Condor strategy" sheetId="1" r:id="rId2"/>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0" i="2" l="1"/>
  <c r="AP10" i="2" s="1"/>
  <c r="AM10" i="2"/>
  <c r="AK10" i="2"/>
  <c r="AG10" i="2"/>
  <c r="AF10" i="2"/>
  <c r="AE10" i="2"/>
  <c r="AD10" i="2"/>
  <c r="AC10" i="2"/>
  <c r="AB10" i="2"/>
  <c r="Z10" i="2"/>
  <c r="W10" i="2"/>
  <c r="V10" i="2"/>
  <c r="AN9" i="2"/>
  <c r="AP9" i="2" s="1"/>
  <c r="AM9" i="2"/>
  <c r="AK9" i="2"/>
  <c r="AG9" i="2"/>
  <c r="AF9" i="2"/>
  <c r="AE9" i="2"/>
  <c r="AD9" i="2"/>
  <c r="AC9" i="2"/>
  <c r="AB9" i="2"/>
  <c r="Z9" i="2"/>
  <c r="W9" i="2"/>
  <c r="V9" i="2"/>
  <c r="AN5" i="2"/>
  <c r="AO5" i="2" s="1"/>
  <c r="AM5" i="2"/>
  <c r="AK5" i="2"/>
  <c r="AG5" i="2"/>
  <c r="AF5" i="2"/>
  <c r="AE5" i="2"/>
  <c r="AD5" i="2"/>
  <c r="AC5" i="2"/>
  <c r="AB5" i="2"/>
  <c r="Z5" i="2"/>
  <c r="W5" i="2"/>
  <c r="V5" i="2"/>
  <c r="AN4" i="2"/>
  <c r="AP4" i="2" s="1"/>
  <c r="AM4" i="2"/>
  <c r="AK4" i="2"/>
  <c r="AG4" i="2"/>
  <c r="AF4" i="2"/>
  <c r="AE4" i="2"/>
  <c r="AD4" i="2"/>
  <c r="AC4" i="2"/>
  <c r="AB4" i="2"/>
  <c r="AA4" i="2"/>
  <c r="Z4" i="2"/>
  <c r="X4" i="2"/>
  <c r="Y4" i="2" s="1"/>
  <c r="W4" i="2"/>
  <c r="V4" i="2"/>
  <c r="AQ5" i="1"/>
  <c r="AQ4" i="1"/>
  <c r="AJ5" i="1"/>
  <c r="AJ4" i="1"/>
  <c r="AJ9" i="1"/>
  <c r="AR10" i="2" l="1"/>
  <c r="AS10" i="2"/>
  <c r="AQ10" i="2"/>
  <c r="AO10" i="2"/>
  <c r="AS9" i="2"/>
  <c r="AR9" i="2"/>
  <c r="AQ9" i="2"/>
  <c r="AO9" i="2"/>
  <c r="AS4" i="2"/>
  <c r="AR4" i="2"/>
  <c r="AQ4" i="2"/>
  <c r="AP5" i="2"/>
  <c r="AO4" i="2"/>
  <c r="AM9" i="1"/>
  <c r="AO9" i="1" s="1"/>
  <c r="AQ9" i="1" s="1"/>
  <c r="AL9" i="1"/>
  <c r="AF9" i="1"/>
  <c r="AE9" i="1"/>
  <c r="AD9" i="1"/>
  <c r="AC9" i="1"/>
  <c r="AB9" i="1"/>
  <c r="AA9" i="1"/>
  <c r="Z9" i="1"/>
  <c r="Y9" i="1"/>
  <c r="W9" i="1"/>
  <c r="X9" i="1" s="1"/>
  <c r="V9" i="1"/>
  <c r="U9" i="1"/>
  <c r="AM5" i="1"/>
  <c r="AL5" i="1"/>
  <c r="AF5" i="1"/>
  <c r="AE5" i="1"/>
  <c r="AD5" i="1"/>
  <c r="AC5" i="1"/>
  <c r="AB5" i="1"/>
  <c r="AA5" i="1"/>
  <c r="Y5" i="1"/>
  <c r="V5" i="1"/>
  <c r="U5" i="1"/>
  <c r="AM4" i="1"/>
  <c r="AO4" i="1" s="1"/>
  <c r="AL4" i="1"/>
  <c r="AF4" i="1"/>
  <c r="AE4" i="1"/>
  <c r="AD4" i="1"/>
  <c r="AC4" i="1"/>
  <c r="AB4" i="1"/>
  <c r="AA4" i="1"/>
  <c r="Z4" i="1"/>
  <c r="Y4" i="1"/>
  <c r="W4" i="1"/>
  <c r="X4" i="1" s="1"/>
  <c r="V4" i="1"/>
  <c r="U4" i="1"/>
  <c r="AS5" i="2" l="1"/>
  <c r="AR5" i="2"/>
  <c r="AQ5" i="2"/>
  <c r="AR9" i="1"/>
  <c r="AP9" i="1"/>
  <c r="AN9" i="1"/>
  <c r="AN5" i="1"/>
  <c r="AR4" i="1"/>
  <c r="AP4" i="1"/>
  <c r="AN4" i="1"/>
  <c r="AO5" i="1"/>
  <c r="AR5" i="1" l="1"/>
  <c r="AP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Brent Osachoff</author>
    <author>Volatility Trading Strategies</author>
  </authors>
  <commentList>
    <comment ref="A2" authorId="0" shapeId="0" xr:uid="{9D814822-0A3A-4A2A-A6B4-B6A5719600F4}">
      <text>
        <r>
          <rPr>
            <b/>
            <sz val="10"/>
            <color rgb="FF000000"/>
            <rFont val="Tahoma"/>
            <family val="2"/>
          </rPr>
          <t xml:space="preserve">VTS Iron Condor strategy: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"Rules of Engagement"
</t>
        </r>
        <r>
          <rPr>
            <b/>
            <sz val="10"/>
            <color rgb="FF000000"/>
            <rFont val="Tahoma"/>
            <family val="2"/>
          </rPr>
          <t xml:space="preserve">
</t>
        </r>
        <r>
          <rPr>
            <b/>
            <sz val="10"/>
            <color rgb="FF000000"/>
            <rFont val="Tahoma"/>
            <family val="2"/>
          </rPr>
          <t xml:space="preserve">
</t>
        </r>
        <r>
          <rPr>
            <b/>
            <sz val="10"/>
            <color rgb="FF000000"/>
            <rFont val="Tahoma"/>
            <family val="2"/>
          </rPr>
          <t xml:space="preserve">1)  We only target the most liquid ETFs because these are multi leg option spreads.  We need high Options liquidity in order to ensure good pricing on entries, and especially on exits
</t>
        </r>
        <r>
          <rPr>
            <b/>
            <sz val="10"/>
            <color rgb="FF000000"/>
            <rFont val="Tahoma"/>
            <family val="2"/>
          </rPr>
          <t xml:space="preserve">     -  SPY, QQQ, IWM, TLT, GLD, etc.
</t>
        </r>
        <r>
          <rPr>
            <b/>
            <sz val="10"/>
            <color rgb="FF000000"/>
            <rFont val="Tahoma"/>
            <family val="2"/>
          </rPr>
          <t xml:space="preserve">
</t>
        </r>
        <r>
          <rPr>
            <b/>
            <sz val="10"/>
            <color rgb="FF000000"/>
            <rFont val="Tahoma"/>
            <family val="2"/>
          </rPr>
          <t xml:space="preserve">2)  For Iron Condors we target 45 - 75 days to expiration  (around 60 is ideal, but we trade throughout the month with multiple layers of trades so we can go anywhere from 45 - 75 days)
</t>
        </r>
        <r>
          <rPr>
            <b/>
            <sz val="10"/>
            <color rgb="FF000000"/>
            <rFont val="Tahoma"/>
            <family val="2"/>
          </rPr>
          <t xml:space="preserve">
</t>
        </r>
        <r>
          <rPr>
            <b/>
            <sz val="10"/>
            <color rgb="FF000000"/>
            <rFont val="Tahoma"/>
            <family val="2"/>
          </rPr>
          <t xml:space="preserve">3)  For Calendars the days to expiration we use is the shorter dated short strike, also targeting 45 - 75 days to expiration.  The long strike will just be 1 month forward of the short dated strike.
</t>
        </r>
        <r>
          <rPr>
            <b/>
            <sz val="10"/>
            <color rgb="FF000000"/>
            <rFont val="Tahoma"/>
            <family val="2"/>
          </rPr>
          <t xml:space="preserve">
</t>
        </r>
        <r>
          <rPr>
            <b/>
            <sz val="10"/>
            <color rgb="FF000000"/>
            <rFont val="Tahoma"/>
            <family val="2"/>
          </rPr>
          <t xml:space="preserve">4)  We generally stick to the monthly expiration cycles as they have higher volume and better liquidity, but in highly liquid instruments like SPY for example we can also use the quarterly cycle.
</t>
        </r>
        <r>
          <rPr>
            <b/>
            <sz val="10"/>
            <color rgb="FF000000"/>
            <rFont val="Tahoma"/>
            <family val="2"/>
          </rPr>
          <t xml:space="preserve">
</t>
        </r>
        <r>
          <rPr>
            <b/>
            <sz val="10"/>
            <color rgb="FF000000"/>
            <rFont val="Tahoma"/>
            <family val="2"/>
          </rPr>
          <t xml:space="preserve">5)  For Iron Condors we typically target roughly 0.15 Delta strikes on both the short Put and short Call side.  The long strikes are the next high volume strike above and below.
</t>
        </r>
        <r>
          <rPr>
            <b/>
            <sz val="10"/>
            <color rgb="FF000000"/>
            <rFont val="Tahoma"/>
            <family val="2"/>
          </rPr>
          <t xml:space="preserve">
</t>
        </r>
        <r>
          <rPr>
            <b/>
            <sz val="10"/>
            <color rgb="FF000000"/>
            <rFont val="Tahoma"/>
            <family val="2"/>
          </rPr>
          <t xml:space="preserve">6)  If you have a larger account size  (&gt;500,000$)  then I would suggest paying closer attention to Lesson 24)  Optimizing to your Account Size
</t>
        </r>
        <r>
          <rPr>
            <b/>
            <sz val="10"/>
            <color rgb="FF000000"/>
            <rFont val="Tahoma"/>
            <family val="2"/>
          </rPr>
          <t xml:space="preserve">
</t>
        </r>
        <r>
          <rPr>
            <b/>
            <sz val="10"/>
            <color rgb="FF000000"/>
            <rFont val="Tahoma"/>
            <family val="2"/>
          </rPr>
          <t xml:space="preserve">7)  Allocation size for Iron Condors will be 3% of total net liquidiation value per trade.
</t>
        </r>
        <r>
          <rPr>
            <b/>
            <sz val="10"/>
            <color rgb="FF000000"/>
            <rFont val="Tahoma"/>
            <family val="2"/>
          </rPr>
          <t xml:space="preserve">     -  We use longer dated contracts and a stop-loss so the practical potential loss is significantly less than that.
</t>
        </r>
        <r>
          <rPr>
            <b/>
            <sz val="10"/>
            <color rgb="FF000000"/>
            <rFont val="Tahoma"/>
            <family val="2"/>
          </rPr>
          <t xml:space="preserve">
</t>
        </r>
        <r>
          <rPr>
            <b/>
            <sz val="10"/>
            <color rgb="FF000000"/>
            <rFont val="Tahoma"/>
            <family val="2"/>
          </rPr>
          <t xml:space="preserve">8)  Allocation size for Calendars will be 2% of total net liquidation value per trade.  Factoring in stops, the potential loss is significantly less than that.
</t>
        </r>
        <r>
          <rPr>
            <b/>
            <sz val="10"/>
            <color rgb="FF000000"/>
            <rFont val="Tahoma"/>
            <family val="2"/>
          </rPr>
          <t xml:space="preserve">
</t>
        </r>
        <r>
          <rPr>
            <b/>
            <sz val="10"/>
            <color rgb="FF000000"/>
            <rFont val="Tahoma"/>
            <family val="2"/>
          </rPr>
          <t xml:space="preserve">9)  We allow for as many as 3 trades to be on simultaneously, because layering over multiple strikes, time frames, and asset classes adds further diversification.
</t>
        </r>
        <r>
          <rPr>
            <b/>
            <sz val="10"/>
            <color rgb="FF000000"/>
            <rFont val="Tahoma"/>
            <family val="2"/>
          </rPr>
          <t xml:space="preserve">
</t>
        </r>
        <r>
          <rPr>
            <b/>
            <sz val="10"/>
            <color rgb="FF000000"/>
            <rFont val="Tahoma"/>
            <family val="2"/>
          </rPr>
          <t xml:space="preserve">10)  We use both a stop-gain and a stop-loss for Iron Condors
</t>
        </r>
        <r>
          <rPr>
            <b/>
            <sz val="10"/>
            <color rgb="FF000000"/>
            <rFont val="Tahoma"/>
            <family val="2"/>
          </rPr>
          <t xml:space="preserve">     -  Stop-gain is set at 0.5x the premium collected for the trade  (if you bring in 1$ in premium, the stop-gain is when it's trading at 0.50$)
</t>
        </r>
        <r>
          <rPr>
            <b/>
            <sz val="10"/>
            <color rgb="FF000000"/>
            <rFont val="Tahoma"/>
            <family val="2"/>
          </rPr>
          <t xml:space="preserve">     -  Stop-loss is set at 1.5x the premium collected for the trade  (if you bring in 1$ in premium, the stop-loss is when it's trading at 1.50$)
</t>
        </r>
        <r>
          <rPr>
            <b/>
            <sz val="10"/>
            <color rgb="FF000000"/>
            <rFont val="Tahoma"/>
            <family val="2"/>
          </rPr>
          <t xml:space="preserve">
</t>
        </r>
        <r>
          <rPr>
            <b/>
            <sz val="10"/>
            <color rgb="FF000000"/>
            <rFont val="Tahoma"/>
            <family val="2"/>
          </rPr>
          <t xml:space="preserve">11)  We use both a stop-gain and stop-loss for Calendars, that is different than Iron Condors because Calendars have a slightly different risk reward profile
</t>
        </r>
        <r>
          <rPr>
            <b/>
            <sz val="10"/>
            <color rgb="FF000000"/>
            <rFont val="Tahoma"/>
            <family val="2"/>
          </rPr>
          <t xml:space="preserve">     -  Stop-gain is set at 1.25x the premium paid for the trade  (if you pay a premium of 1$, the stop-gain is when the premium is above 1.25$)
</t>
        </r>
        <r>
          <rPr>
            <b/>
            <sz val="10"/>
            <color rgb="FF000000"/>
            <rFont val="Tahoma"/>
            <family val="2"/>
          </rPr>
          <t xml:space="preserve">     -  Stop-loss is set at 0.75x the premium paid for the trade  (if you pay a premium of 1$, the stop-loss is when the premium is below 0.75$)</t>
        </r>
      </text>
    </comment>
    <comment ref="A7" authorId="0" shapeId="0" xr:uid="{E7CE9622-A805-47A2-BAC2-389D4CC827F9}">
      <text>
        <r>
          <rPr>
            <b/>
            <sz val="10"/>
            <color rgb="FF000000"/>
            <rFont val="Tahoma"/>
            <family val="2"/>
          </rPr>
          <t xml:space="preserve">Blue  -  Trades I'm planning to take
</t>
        </r>
        <r>
          <rPr>
            <b/>
            <sz val="10"/>
            <color rgb="FF000000"/>
            <rFont val="Tahoma"/>
            <family val="2"/>
          </rPr>
          <t xml:space="preserve">Yellow  -  I mark open trades in yellow
</t>
        </r>
        <r>
          <rPr>
            <b/>
            <sz val="10"/>
            <color rgb="FF000000"/>
            <rFont val="Tahoma"/>
            <family val="2"/>
          </rPr>
          <t xml:space="preserve">Green  -  Showing winning trades
</t>
        </r>
        <r>
          <rPr>
            <b/>
            <sz val="10"/>
            <color rgb="FF000000"/>
            <rFont val="Tahoma"/>
            <family val="2"/>
          </rPr>
          <t>Red  -  Showing losing trades</t>
        </r>
      </text>
    </comment>
    <comment ref="B7" authorId="0" shapeId="0" xr:uid="{0E198020-4E13-4512-8972-4DA7F2DEDDD9}">
      <text>
        <r>
          <rPr>
            <b/>
            <sz val="10"/>
            <color rgb="FF000000"/>
            <rFont val="Tahoma"/>
            <family val="2"/>
          </rPr>
          <t xml:space="preserve">Iron Condors are best utilized during mid to high volatility environments  (above 25th percentile of volatility metric)
</t>
        </r>
        <r>
          <rPr>
            <b/>
            <sz val="10"/>
            <color rgb="FF000000"/>
            <rFont val="Tahoma"/>
            <family val="2"/>
          </rPr>
          <t xml:space="preserve">Calendars are best utilized during low volatility environments  (below 25th percentile of volatility metric)
</t>
        </r>
        <r>
          <rPr>
            <b/>
            <sz val="10"/>
            <color rgb="FF000000"/>
            <rFont val="Tahoma"/>
            <family val="2"/>
          </rPr>
          <t xml:space="preserve">
</t>
        </r>
        <r>
          <rPr>
            <b/>
            <sz val="10"/>
            <color rgb="FF000000"/>
            <rFont val="Tahoma"/>
            <family val="2"/>
          </rPr>
          <t>Common metrics used to filter trades:  VTS Volatility Barometer, IV rank, VIX futures, VIX index, etc</t>
        </r>
      </text>
    </comment>
    <comment ref="C7" authorId="0" shapeId="0" xr:uid="{94D2E3BD-4DB4-4C56-BDBE-C2946CE613E5}">
      <text>
        <r>
          <rPr>
            <b/>
            <sz val="10"/>
            <color rgb="FF000000"/>
            <rFont val="Tahoma"/>
            <family val="2"/>
          </rPr>
          <t>The date your trade was opened.</t>
        </r>
        <r>
          <rPr>
            <sz val="10"/>
            <color rgb="FF000000"/>
            <rFont val="Tahoma"/>
            <family val="2"/>
          </rPr>
          <t xml:space="preserve">
</t>
        </r>
      </text>
    </comment>
    <comment ref="D7" authorId="0" shapeId="0" xr:uid="{D2F891B1-108C-4C3F-B798-1374DD55FC91}">
      <text>
        <r>
          <rPr>
            <b/>
            <sz val="10"/>
            <color rgb="FF000000"/>
            <rFont val="Tahoma"/>
            <family val="2"/>
          </rPr>
          <t>The ticker symbol for the underlying instrument being traded.</t>
        </r>
      </text>
    </comment>
    <comment ref="E7" authorId="0" shapeId="0" xr:uid="{0B0F5CC1-7757-49C9-9EC3-F7C5AF2617BE}">
      <text>
        <r>
          <rPr>
            <b/>
            <sz val="10"/>
            <color rgb="FF000000"/>
            <rFont val="Tahoma"/>
            <family val="2"/>
          </rPr>
          <t xml:space="preserve">This is your entire portfolio value that all allocation sizes for all strategies will be based on.
</t>
        </r>
        <r>
          <rPr>
            <b/>
            <sz val="10"/>
            <color rgb="FF000000"/>
            <rFont val="Tahoma"/>
            <family val="2"/>
          </rPr>
          <t xml:space="preserve">
</t>
        </r>
        <r>
          <rPr>
            <b/>
            <sz val="10"/>
            <color rgb="FF000000"/>
            <rFont val="Tahoma"/>
            <family val="2"/>
          </rPr>
          <t xml:space="preserve">For any examples, I will my ThinkorSwim public account that you see in the videos and livestreams.
</t>
        </r>
        <r>
          <rPr>
            <b/>
            <sz val="10"/>
            <color rgb="FF000000"/>
            <rFont val="Tahoma"/>
            <family val="2"/>
          </rPr>
          <t>Options are more efficient to size off total net liquidation value, as it's very easy to take a small percent of it per trade</t>
        </r>
      </text>
    </comment>
    <comment ref="F7" authorId="0" shapeId="0" xr:uid="{3D359E4A-E351-4AF0-916E-EDFEAB9651E2}">
      <text>
        <r>
          <rPr>
            <b/>
            <sz val="10"/>
            <color rgb="FF000000"/>
            <rFont val="Tahoma"/>
            <family val="2"/>
          </rPr>
          <t xml:space="preserve">The default maximum number of trades is set at 3, which means we will typically have 0-3 trades open at once.
</t>
        </r>
        <r>
          <rPr>
            <b/>
            <sz val="10"/>
            <color rgb="FF000000"/>
            <rFont val="Tahoma"/>
            <family val="2"/>
          </rPr>
          <t xml:space="preserve">
</t>
        </r>
        <r>
          <rPr>
            <b/>
            <sz val="10"/>
            <color rgb="FF000000"/>
            <rFont val="Tahoma"/>
            <family val="34"/>
          </rPr>
          <t>If you like the strategy and want to ramp up your trades, I suggest you increase the # of trades and reduce the size of each trade.  You can easily do 5-6 smaller trades staggered over different time periods and asset classes.</t>
        </r>
        <r>
          <rPr>
            <sz val="10"/>
            <color rgb="FF000000"/>
            <rFont val="Tahoma"/>
            <family val="34"/>
          </rPr>
          <t xml:space="preserve">
</t>
        </r>
      </text>
    </comment>
    <comment ref="G7" authorId="0" shapeId="0" xr:uid="{047D003C-5C51-48E6-BB54-BAA887600653}">
      <text>
        <r>
          <rPr>
            <b/>
            <sz val="10"/>
            <color rgb="FF000000"/>
            <rFont val="Tahoma"/>
            <family val="2"/>
          </rPr>
          <t>This is the price of the underlying stock or index at the time you opened your trade.</t>
        </r>
      </text>
    </comment>
    <comment ref="H7" authorId="0" shapeId="0" xr:uid="{9125E151-224B-4BB7-9F3A-8AB5591506C3}">
      <text>
        <r>
          <rPr>
            <b/>
            <sz val="10"/>
            <color rgb="FF000000"/>
            <rFont val="Tahoma"/>
            <family val="2"/>
          </rPr>
          <t xml:space="preserve">The expiration date for the trade.
</t>
        </r>
        <r>
          <rPr>
            <b/>
            <sz val="10"/>
            <color rgb="FF000000"/>
            <rFont val="Tahoma"/>
            <family val="2"/>
          </rPr>
          <t xml:space="preserve">
</t>
        </r>
        <r>
          <rPr>
            <b/>
            <sz val="10"/>
            <color rgb="FF000000"/>
            <rFont val="Tahoma"/>
            <family val="2"/>
          </rPr>
          <t>For Calendars we use the short dated front month contract as the expiration date.</t>
        </r>
      </text>
    </comment>
    <comment ref="I7" authorId="0" shapeId="0" xr:uid="{8B05A1EA-E43A-4526-8DD4-3F3BE83C4525}">
      <text>
        <r>
          <rPr>
            <b/>
            <sz val="10"/>
            <color rgb="FF000000"/>
            <rFont val="Tahoma"/>
            <family val="2"/>
          </rPr>
          <t>The expiration date for the distant-month contract (only for Calendars).
Leave the space for Iron Condors.</t>
        </r>
      </text>
    </comment>
    <comment ref="J7" authorId="0" shapeId="0" xr:uid="{4CD305E1-C860-4714-94C0-F4A5D9ABF60E}">
      <text>
        <r>
          <rPr>
            <b/>
            <sz val="10"/>
            <color rgb="FF000000"/>
            <rFont val="Tahoma"/>
            <family val="2"/>
          </rPr>
          <t xml:space="preserve">The number of days to expiration.
</t>
        </r>
        <r>
          <rPr>
            <b/>
            <sz val="10"/>
            <color rgb="FF000000"/>
            <rFont val="Tahoma"/>
            <family val="2"/>
          </rPr>
          <t xml:space="preserve">
</t>
        </r>
        <r>
          <rPr>
            <b/>
            <sz val="10"/>
            <color rgb="FF000000"/>
            <rFont val="Tahoma"/>
            <family val="2"/>
          </rPr>
          <t xml:space="preserve">Your trading software will show you the total number of days including weekends and holidays so input it here.
</t>
        </r>
        <r>
          <rPr>
            <b/>
            <sz val="10"/>
            <color rgb="FF000000"/>
            <rFont val="Tahoma"/>
            <family val="2"/>
          </rPr>
          <t>For Calendars, input the number of days to expiration as the shorter dated short strike of the trade.</t>
        </r>
      </text>
    </comment>
    <comment ref="K7" authorId="0" shapeId="0" xr:uid="{34C28669-750D-481D-A3B0-2518CC8F74B6}">
      <text>
        <r>
          <rPr>
            <b/>
            <sz val="10"/>
            <color rgb="FF000000"/>
            <rFont val="Tahoma"/>
            <family val="2"/>
          </rPr>
          <t>The VIX index value at the time you opened your trade.</t>
        </r>
      </text>
    </comment>
    <comment ref="L7" authorId="0" shapeId="0" xr:uid="{4C993F10-0A8B-42C1-9684-52DE0C122C94}">
      <text>
        <r>
          <rPr>
            <b/>
            <sz val="10"/>
            <color rgb="FF000000"/>
            <rFont val="Tahoma"/>
            <family val="2"/>
          </rPr>
          <t xml:space="preserve">IV percentile tells us where the current implied volatility is compared to itself over the past 1 year.
</t>
        </r>
        <r>
          <rPr>
            <b/>
            <sz val="10"/>
            <color rgb="FF000000"/>
            <rFont val="Tahoma"/>
            <family val="2"/>
          </rPr>
          <t xml:space="preserve">
</t>
        </r>
        <r>
          <rPr>
            <b/>
            <sz val="10"/>
            <color rgb="FF000000"/>
            <rFont val="Tahoma"/>
            <family val="2"/>
          </rPr>
          <t xml:space="preserve">In ThinkorSwim it's found in the "Today's Options Statistics" tab within the options string page.
</t>
        </r>
        <r>
          <rPr>
            <b/>
            <sz val="10"/>
            <color rgb="FF000000"/>
            <rFont val="Tahoma"/>
            <family val="2"/>
          </rPr>
          <t>If you use another software, you can contact their customer service if you can't find the value, or just leave this blank.</t>
        </r>
      </text>
    </comment>
    <comment ref="M7" authorId="0" shapeId="0" xr:uid="{81C004A5-13A7-4212-B764-90F3B8FCB433}">
      <text>
        <r>
          <rPr>
            <b/>
            <sz val="10"/>
            <color rgb="FF000000"/>
            <rFont val="Tahoma"/>
            <family val="2"/>
          </rPr>
          <t xml:space="preserve">If you do subscribe to the VTS Daily Trade Signals emails  (volatilitytradingstrategies.com)  then you will use the VTS Volatility Barometer as the best volatility filter for trading and selecting Iron Condors vs Calendars.
</t>
        </r>
        <r>
          <rPr>
            <b/>
            <sz val="10"/>
            <color rgb="FF000000"/>
            <rFont val="Tahoma"/>
            <family val="2"/>
          </rPr>
          <t xml:space="preserve">
</t>
        </r>
        <r>
          <rPr>
            <b/>
            <sz val="10"/>
            <color rgb="FF000000"/>
            <rFont val="Tahoma"/>
            <family val="2"/>
          </rPr>
          <t>Volatility Barometer video:  https://www.youtube.com/watch?v=xV8-oGBcwg8&amp;ab_channel=VTS-BrentOsachoff</t>
        </r>
      </text>
    </comment>
    <comment ref="N7" authorId="0" shapeId="0" xr:uid="{82BCD69D-1E28-41A3-97B7-6E97ED99762B}">
      <text>
        <r>
          <rPr>
            <b/>
            <sz val="10"/>
            <color rgb="FF000000"/>
            <rFont val="Tahoma"/>
            <family val="2"/>
          </rPr>
          <t xml:space="preserve">For Iron Condors I prefer a Short Put Delta near 0.15.  I will usually find the 0.15 delta strike and move further out of the money to the ideal strike price with high volume.
</t>
        </r>
        <r>
          <rPr>
            <b/>
            <sz val="10"/>
            <color rgb="FF000000"/>
            <rFont val="Tahoma"/>
            <family val="2"/>
          </rPr>
          <t xml:space="preserve">
</t>
        </r>
        <r>
          <rPr>
            <b/>
            <sz val="10"/>
            <color rgb="FF000000"/>
            <rFont val="Tahoma"/>
            <family val="2"/>
          </rPr>
          <t>For Calendars, both strikes are the same and near the money, so we don't use delta for Calendar strike selection.</t>
        </r>
      </text>
    </comment>
    <comment ref="O7" authorId="0" shapeId="0" xr:uid="{A659FF58-2675-42B4-989A-F4AED97BA17D}">
      <text>
        <r>
          <rPr>
            <b/>
            <sz val="10"/>
            <color rgb="FF000000"/>
            <rFont val="Tahoma"/>
            <family val="2"/>
          </rPr>
          <t xml:space="preserve">For Iron Condors I prefer a Short Call Delta near 0.15.  I will usually find the 0.15 delta strike and move further out of the money to the ideal strike price with high volume.
</t>
        </r>
        <r>
          <rPr>
            <b/>
            <sz val="10"/>
            <color rgb="FF000000"/>
            <rFont val="Tahoma"/>
            <family val="2"/>
          </rPr>
          <t xml:space="preserve">
</t>
        </r>
        <r>
          <rPr>
            <b/>
            <sz val="10"/>
            <color rgb="FF000000"/>
            <rFont val="Tahoma"/>
            <family val="2"/>
          </rPr>
          <t>For Calendars, both strikes are the same and near the money, so we don't use delta for Calendar strike selection.</t>
        </r>
      </text>
    </comment>
    <comment ref="P7" authorId="0" shapeId="0" xr:uid="{4FA46A78-3C2E-4310-8D5F-FEFC550EF977}">
      <text>
        <r>
          <rPr>
            <b/>
            <sz val="10"/>
            <color rgb="FF000000"/>
            <rFont val="Tahoma"/>
            <family val="2"/>
          </rPr>
          <t xml:space="preserve">For Iron Condors this will be the further out of the money Long Put strike to define the trade and cap the loss.
</t>
        </r>
        <r>
          <rPr>
            <b/>
            <sz val="10"/>
            <color rgb="FF000000"/>
            <rFont val="Tahoma"/>
            <family val="2"/>
          </rPr>
          <t xml:space="preserve">
</t>
        </r>
        <r>
          <rPr>
            <b/>
            <sz val="10"/>
            <color rgb="FF000000"/>
            <rFont val="Tahoma"/>
            <family val="2"/>
          </rPr>
          <t>For Calendars this will be the longer dated Long Put Option.</t>
        </r>
      </text>
    </comment>
    <comment ref="Q7" authorId="0" shapeId="0" xr:uid="{EE6036B4-05BC-49CE-A677-CCACD17C33B1}">
      <text>
        <r>
          <rPr>
            <b/>
            <sz val="10"/>
            <color rgb="FF000000"/>
            <rFont val="Tahoma"/>
            <family val="2"/>
          </rPr>
          <t xml:space="preserve">For Iron Condors this will be the closer to the money Short Put strike around 0.15 Delta.
</t>
        </r>
        <r>
          <rPr>
            <b/>
            <sz val="10"/>
            <color rgb="FF000000"/>
            <rFont val="Tahoma"/>
            <family val="2"/>
          </rPr>
          <t xml:space="preserve">
</t>
        </r>
        <r>
          <rPr>
            <b/>
            <sz val="10"/>
            <color rgb="FF000000"/>
            <rFont val="Tahoma"/>
            <family val="2"/>
          </rPr>
          <t>For Calendars this will be the shorter dated Short Put Option.</t>
        </r>
      </text>
    </comment>
    <comment ref="R7" authorId="0" shapeId="0" xr:uid="{0DD1D602-F7D1-4F43-911D-67D07B9934A3}">
      <text>
        <r>
          <rPr>
            <b/>
            <sz val="10"/>
            <color rgb="FF000000"/>
            <rFont val="Tahoma"/>
            <family val="2"/>
          </rPr>
          <t xml:space="preserve">For Iron Condors this will be the closer to the money Short Call strike around 0.15 Delta.
</t>
        </r>
        <r>
          <rPr>
            <b/>
            <sz val="10"/>
            <color rgb="FF000000"/>
            <rFont val="Tahoma"/>
            <family val="2"/>
          </rPr>
          <t xml:space="preserve">
</t>
        </r>
        <r>
          <rPr>
            <b/>
            <sz val="10"/>
            <color rgb="FF000000"/>
            <rFont val="Tahoma"/>
            <family val="2"/>
          </rPr>
          <t>For Calendars we don't use Calls, it's a long and short Put only so ignore this.</t>
        </r>
      </text>
    </comment>
    <comment ref="S7" authorId="0" shapeId="0" xr:uid="{EC68FE36-4D56-4219-88DE-7A57D74D2FD3}">
      <text>
        <r>
          <rPr>
            <b/>
            <sz val="10"/>
            <color rgb="FF000000"/>
            <rFont val="Tahoma"/>
            <family val="2"/>
          </rPr>
          <t xml:space="preserve">For Iron Condors this will be the further out of the money Long Call strike to define the trade and cap the loss.
</t>
        </r>
        <r>
          <rPr>
            <b/>
            <sz val="10"/>
            <color rgb="FF000000"/>
            <rFont val="Tahoma"/>
            <family val="2"/>
          </rPr>
          <t xml:space="preserve">
</t>
        </r>
        <r>
          <rPr>
            <b/>
            <sz val="10"/>
            <color rgb="FF000000"/>
            <rFont val="Tahoma"/>
            <family val="2"/>
          </rPr>
          <t>For Calendars we don't use Calls, it's a long and short Put only so ignore this.</t>
        </r>
      </text>
    </comment>
    <comment ref="T7" authorId="0" shapeId="0" xr:uid="{AB1C05BC-7875-476C-989B-B33BCC88B515}">
      <text>
        <r>
          <rPr>
            <b/>
            <sz val="10"/>
            <color rgb="FF000000"/>
            <rFont val="Tahoma"/>
            <family val="2"/>
          </rPr>
          <t xml:space="preserve">The open premium for your trade.
</t>
        </r>
        <r>
          <rPr>
            <b/>
            <sz val="10"/>
            <color rgb="FF000000"/>
            <rFont val="Tahoma"/>
            <family val="2"/>
          </rPr>
          <t xml:space="preserve">
</t>
        </r>
        <r>
          <rPr>
            <b/>
            <sz val="10"/>
            <color rgb="FF000000"/>
            <rFont val="Tahoma"/>
            <family val="2"/>
          </rPr>
          <t xml:space="preserve">For Iron Condors this will be shown as a credit.
</t>
        </r>
        <r>
          <rPr>
            <b/>
            <sz val="10"/>
            <color rgb="FF000000"/>
            <rFont val="Tahoma"/>
            <family val="2"/>
          </rPr>
          <t>For Calendars this will be shown as a debit.</t>
        </r>
      </text>
    </comment>
    <comment ref="U7" authorId="0" shapeId="0" xr:uid="{712A1EBC-87A4-42C2-AC05-1B9C1B9D2DB8}">
      <text>
        <r>
          <rPr>
            <b/>
            <sz val="10"/>
            <color rgb="FF000000"/>
            <rFont val="Tahoma"/>
            <family val="2"/>
          </rPr>
          <t xml:space="preserve">The number of contracts opened.
</t>
        </r>
        <r>
          <rPr>
            <b/>
            <sz val="10"/>
            <color rgb="FF000000"/>
            <rFont val="Tahoma"/>
            <family val="2"/>
          </rPr>
          <t xml:space="preserve">
</t>
        </r>
        <r>
          <rPr>
            <b/>
            <sz val="10"/>
            <color rgb="FF000000"/>
            <rFont val="Tahoma"/>
            <family val="2"/>
          </rPr>
          <t xml:space="preserve">This will equal the amount that is slightly below the maximum loss for the trade.
</t>
        </r>
        <r>
          <rPr>
            <b/>
            <sz val="10"/>
            <color rgb="FF000000"/>
            <rFont val="Tahoma"/>
            <family val="2"/>
          </rPr>
          <t>Adjust your # of contracts until this maximum loss value is no more than the current trade allocation.</t>
        </r>
      </text>
    </comment>
    <comment ref="V7" authorId="0" shapeId="0" xr:uid="{6DC21F5F-F484-48DF-8615-D5B129541065}">
      <text>
        <r>
          <rPr>
            <b/>
            <sz val="10"/>
            <color rgb="FF000000"/>
            <rFont val="Tahoma"/>
            <family val="2"/>
          </rPr>
          <t xml:space="preserve">The maximum possible loss on your trade in the worst case scenario.  
</t>
        </r>
        <r>
          <rPr>
            <b/>
            <sz val="10"/>
            <color rgb="FF000000"/>
            <rFont val="Tahoma"/>
            <family val="2"/>
          </rPr>
          <t xml:space="preserve">
</t>
        </r>
        <r>
          <rPr>
            <b/>
            <sz val="10"/>
            <color rgb="FF000000"/>
            <rFont val="Tahoma"/>
            <family val="2"/>
          </rPr>
          <t xml:space="preserve">For Iron Condors the maximum loss is the difference in the strike gap minus the premium collected.
</t>
        </r>
        <r>
          <rPr>
            <b/>
            <sz val="10"/>
            <color rgb="FF000000"/>
            <rFont val="Tahoma"/>
            <family val="2"/>
          </rPr>
          <t>For Calendars the maximum loss is the full premium paid to open the trade.</t>
        </r>
      </text>
    </comment>
    <comment ref="W7" authorId="0" shapeId="0" xr:uid="{831B29CA-EFC3-4503-A853-3FBE63F1AFE5}">
      <text>
        <r>
          <rPr>
            <b/>
            <sz val="10"/>
            <color rgb="FF000000"/>
            <rFont val="Tahoma"/>
            <family val="2"/>
          </rPr>
          <t xml:space="preserve">For Iron Condors this is 3% of your total net liquidation value.
</t>
        </r>
        <r>
          <rPr>
            <b/>
            <sz val="10"/>
            <color rgb="FF000000"/>
            <rFont val="Tahoma"/>
            <family val="2"/>
          </rPr>
          <t xml:space="preserve">For Calendars this is 2% of your total net liquidation value.
</t>
        </r>
        <r>
          <rPr>
            <b/>
            <sz val="10"/>
            <color rgb="FF000000"/>
            <rFont val="Tahoma"/>
            <family val="2"/>
          </rPr>
          <t xml:space="preserve">
</t>
        </r>
        <r>
          <rPr>
            <b/>
            <sz val="10"/>
            <color rgb="FF000000"/>
            <rFont val="Tahoma"/>
            <family val="2"/>
          </rPr>
          <t>We do use a stop-loss and stop-gain so most of our trades will have a practical maximum loss of significantly below 3%.</t>
        </r>
      </text>
    </comment>
    <comment ref="X7" authorId="0" shapeId="0" xr:uid="{E9564960-4D5D-4C9D-8BEE-CF5D7DC06F0D}">
      <text>
        <r>
          <rPr>
            <b/>
            <sz val="10"/>
            <color rgb="FF000000"/>
            <rFont val="Tahoma"/>
            <family val="2"/>
          </rPr>
          <t xml:space="preserve">This is the difference between the short and long strikes, and since Iron Condors use symmetrical trades, either the call or the put side can be used.
</t>
        </r>
        <r>
          <rPr>
            <b/>
            <sz val="10"/>
            <color rgb="FF000000"/>
            <rFont val="Tahoma"/>
            <family val="2"/>
          </rPr>
          <t xml:space="preserve">
</t>
        </r>
        <r>
          <rPr>
            <b/>
            <sz val="10"/>
            <color rgb="FF000000"/>
            <rFont val="Tahoma"/>
            <family val="2"/>
          </rPr>
          <t>For Calendars there is no strike gap so ignore this.</t>
        </r>
      </text>
    </comment>
    <comment ref="Y7" authorId="0" shapeId="0" xr:uid="{75A82223-A2E5-4696-A1C0-18AB9ABE1084}">
      <text>
        <r>
          <rPr>
            <b/>
            <sz val="10"/>
            <color rgb="FF000000"/>
            <rFont val="Tahoma"/>
            <family val="2"/>
          </rPr>
          <t xml:space="preserve">The current probability of the trade being profitable.
</t>
        </r>
        <r>
          <rPr>
            <b/>
            <sz val="10"/>
            <color rgb="FF000000"/>
            <rFont val="Tahoma"/>
            <family val="2"/>
          </rPr>
          <t xml:space="preserve">
</t>
        </r>
        <r>
          <rPr>
            <b/>
            <sz val="10"/>
            <color rgb="FF000000"/>
            <rFont val="Tahoma"/>
            <family val="2"/>
          </rPr>
          <t xml:space="preserve">For Iron Condors this is just based on the premium brought in compared to the difference in strike gap.
</t>
        </r>
        <r>
          <rPr>
            <b/>
            <sz val="10"/>
            <color rgb="FF000000"/>
            <rFont val="Tahoma"/>
            <family val="2"/>
          </rPr>
          <t>For Calendars we ignore this.</t>
        </r>
      </text>
    </comment>
    <comment ref="Z7" authorId="0" shapeId="0" xr:uid="{369CA303-B93F-4574-BD0D-B82C35B00447}">
      <text>
        <r>
          <rPr>
            <b/>
            <sz val="10"/>
            <color rgb="FF000000"/>
            <rFont val="Tahoma"/>
            <family val="2"/>
          </rPr>
          <t xml:space="preserve">The percent distance from the price the trade was opened at to the Short Put strike for the Iron Condor.
</t>
        </r>
        <r>
          <rPr>
            <b/>
            <sz val="10"/>
            <color rgb="FF000000"/>
            <rFont val="Tahoma"/>
            <family val="2"/>
          </rPr>
          <t xml:space="preserve">
</t>
        </r>
        <r>
          <rPr>
            <b/>
            <sz val="10"/>
            <color rgb="FF000000"/>
            <rFont val="Tahoma"/>
            <family val="2"/>
          </rPr>
          <t xml:space="preserve">For Calendars we ignore this.
</t>
        </r>
      </text>
    </comment>
    <comment ref="AA7" authorId="0" shapeId="0" xr:uid="{4627D1AE-CE73-49BE-802C-3906B9F5C664}">
      <text>
        <r>
          <rPr>
            <b/>
            <sz val="10"/>
            <color rgb="FF000000"/>
            <rFont val="Tahoma"/>
            <family val="2"/>
          </rPr>
          <t xml:space="preserve">The percent distance from the price the trade was opened at to the Short Call strike for the Iron Condor.
</t>
        </r>
        <r>
          <rPr>
            <b/>
            <sz val="10"/>
            <color rgb="FF000000"/>
            <rFont val="Tahoma"/>
            <family val="2"/>
          </rPr>
          <t xml:space="preserve">
</t>
        </r>
        <r>
          <rPr>
            <b/>
            <sz val="10"/>
            <color rgb="FF000000"/>
            <rFont val="Tahoma"/>
            <family val="2"/>
          </rPr>
          <t>For Calendars we ignore this.</t>
        </r>
      </text>
    </comment>
    <comment ref="AB7" authorId="0" shapeId="0" xr:uid="{C5B2A55B-EB20-45A7-9B1C-475D8B9E840D}">
      <text>
        <r>
          <rPr>
            <b/>
            <sz val="10"/>
            <color rgb="FF000000"/>
            <rFont val="Tahoma"/>
            <family val="2"/>
          </rPr>
          <t xml:space="preserve">Iron Condors use a stop-gain equal to 0.5x the premium collected for the trade.
</t>
        </r>
        <r>
          <rPr>
            <b/>
            <sz val="10"/>
            <color rgb="FF000000"/>
            <rFont val="Tahoma"/>
            <family val="2"/>
          </rPr>
          <t xml:space="preserve">
</t>
        </r>
        <r>
          <rPr>
            <b/>
            <sz val="10"/>
            <color rgb="FF000000"/>
            <rFont val="Tahoma"/>
            <family val="2"/>
          </rPr>
          <t>Calendars use a stop-gain equal to 1.25x the premium paid for the trade.</t>
        </r>
      </text>
    </comment>
    <comment ref="AC7" authorId="0" shapeId="0" xr:uid="{5664355A-D057-4DDD-8347-73EB8DAC7F1E}">
      <text>
        <r>
          <rPr>
            <b/>
            <sz val="10"/>
            <color rgb="FF000000"/>
            <rFont val="Tahoma"/>
            <family val="2"/>
          </rPr>
          <t xml:space="preserve">For Iron Condors this is 50% of the maximum possible profit measured in dollars.
</t>
        </r>
        <r>
          <rPr>
            <b/>
            <sz val="10"/>
            <color rgb="FF000000"/>
            <rFont val="Tahoma"/>
            <family val="2"/>
          </rPr>
          <t xml:space="preserve">
</t>
        </r>
        <r>
          <rPr>
            <b/>
            <sz val="10"/>
            <color rgb="FF000000"/>
            <rFont val="Tahoma"/>
            <family val="2"/>
          </rPr>
          <t>For Calendars this is 25% above the break even value measured in dollars.</t>
        </r>
      </text>
    </comment>
    <comment ref="AD7" authorId="0" shapeId="0" xr:uid="{9E70E910-B8E8-441A-A7CB-BE87505697FF}">
      <text>
        <r>
          <rPr>
            <b/>
            <sz val="10"/>
            <color rgb="FF000000"/>
            <rFont val="Tahoma"/>
            <family val="2"/>
          </rPr>
          <t xml:space="preserve">For Iron Condors this stop-loss will be 1.5x the premium brought in for the trade.
</t>
        </r>
        <r>
          <rPr>
            <b/>
            <sz val="10"/>
            <color rgb="FF000000"/>
            <rFont val="Tahoma"/>
            <family val="2"/>
          </rPr>
          <t xml:space="preserve">
</t>
        </r>
        <r>
          <rPr>
            <b/>
            <sz val="10"/>
            <color rgb="FF000000"/>
            <rFont val="Tahoma"/>
            <family val="2"/>
          </rPr>
          <t>For Calendars this stop-loss will be 0.75x the premium paid to open the trade.</t>
        </r>
      </text>
    </comment>
    <comment ref="AE7" authorId="0" shapeId="0" xr:uid="{8F3AEC79-3EF4-4B73-B239-763914DC86B3}">
      <text>
        <r>
          <rPr>
            <b/>
            <sz val="10"/>
            <color rgb="FF000000"/>
            <rFont val="Tahoma"/>
            <family val="2"/>
          </rPr>
          <t xml:space="preserve">For Iron Condors this is when the trade has lost 50% of premium collected for the trade.
</t>
        </r>
        <r>
          <rPr>
            <b/>
            <sz val="10"/>
            <color rgb="FF000000"/>
            <rFont val="Tahoma"/>
            <family val="2"/>
          </rPr>
          <t xml:space="preserve">
</t>
        </r>
        <r>
          <rPr>
            <b/>
            <sz val="10"/>
            <color rgb="FF000000"/>
            <rFont val="Tahoma"/>
            <family val="2"/>
          </rPr>
          <t>For Calendars this is 25% above the break even value measured in dollars.</t>
        </r>
      </text>
    </comment>
    <comment ref="AF7" authorId="0" shapeId="0" xr:uid="{F14F30D5-D8C3-4AF1-AADC-B28309AF0AFB}">
      <text>
        <r>
          <rPr>
            <b/>
            <sz val="10"/>
            <color rgb="FF000000"/>
            <rFont val="Tahoma"/>
            <family val="2"/>
          </rPr>
          <t xml:space="preserve">4% below the price the trade was opened.
</t>
        </r>
        <r>
          <rPr>
            <b/>
            <sz val="10"/>
            <color rgb="FF000000"/>
            <rFont val="Tahoma"/>
            <family val="2"/>
          </rPr>
          <t xml:space="preserve">
</t>
        </r>
        <r>
          <rPr>
            <b/>
            <sz val="10"/>
            <color rgb="FF000000"/>
            <rFont val="Tahoma"/>
            <family val="2"/>
          </rPr>
          <t>Layering trades is part of the system.  To avoid redundancy, I don't take follow up trades on the same underlying security and same expiration unless it has moved at least 4% from where I originally opened the trade.</t>
        </r>
      </text>
    </comment>
    <comment ref="AG7" authorId="0" shapeId="0" xr:uid="{AEA0F864-CF79-4D84-AD45-B229567C340A}">
      <text>
        <r>
          <rPr>
            <b/>
            <sz val="10"/>
            <color rgb="FF000000"/>
            <rFont val="Tahoma"/>
            <family val="2"/>
          </rPr>
          <t xml:space="preserve">4% above the price the trade was opened.
</t>
        </r>
        <r>
          <rPr>
            <b/>
            <sz val="10"/>
            <color rgb="FF000000"/>
            <rFont val="Tahoma"/>
            <family val="2"/>
          </rPr>
          <t xml:space="preserve">
</t>
        </r>
        <r>
          <rPr>
            <b/>
            <sz val="10"/>
            <color rgb="FF000000"/>
            <rFont val="Tahoma"/>
            <family val="2"/>
          </rPr>
          <t>Layering trades is part of the system.  To avoid redundancy, I don't take follow up trades on the same underlying security and same expiration unless it has moved at least 4% from where I originally opened the trade.</t>
        </r>
      </text>
    </comment>
    <comment ref="AI7" authorId="0" shapeId="0" xr:uid="{B68832D3-B4E6-4087-9BCA-83A25E6B3CD8}">
      <text>
        <r>
          <rPr>
            <b/>
            <sz val="10"/>
            <color rgb="FF000000"/>
            <rFont val="Tahoma"/>
            <family val="2"/>
          </rPr>
          <t>The date you closed your trade</t>
        </r>
        <r>
          <rPr>
            <sz val="10"/>
            <color rgb="FF000000"/>
            <rFont val="Tahoma"/>
            <family val="2"/>
          </rPr>
          <t>.</t>
        </r>
      </text>
    </comment>
    <comment ref="AJ7" authorId="0" shapeId="0" xr:uid="{1B313849-A0F7-464E-B52E-954F02A52FB0}">
      <text>
        <r>
          <rPr>
            <b/>
            <sz val="10"/>
            <color rgb="FF000000"/>
            <rFont val="Tahoma"/>
            <family val="2"/>
          </rPr>
          <t>The price of the underlying when you closed your trade.</t>
        </r>
      </text>
    </comment>
    <comment ref="AK7" authorId="1" shapeId="0" xr:uid="{5E34C5CD-2397-4916-9FD7-3E06DD5EEF01}">
      <text>
        <r>
          <rPr>
            <b/>
            <sz val="10"/>
            <color rgb="FF000000"/>
            <rFont val="Tahoma"/>
            <family val="2"/>
          </rPr>
          <t>Shows how much the underlying security moved from the day it was opened until closed</t>
        </r>
      </text>
    </comment>
    <comment ref="AL7" authorId="0" shapeId="0" xr:uid="{31D402E3-E4A0-4F3C-92C8-418185773AAE}">
      <text>
        <r>
          <rPr>
            <b/>
            <sz val="10"/>
            <color rgb="FF000000"/>
            <rFont val="Tahoma"/>
            <family val="2"/>
          </rPr>
          <t>The final premium you closed your trade for.</t>
        </r>
      </text>
    </comment>
    <comment ref="AM7" authorId="0" shapeId="0" xr:uid="{5317E72C-4AF4-4937-AE5A-BCCE1B7B87BC}">
      <text>
        <r>
          <rPr>
            <b/>
            <sz val="10"/>
            <color rgb="FF000000"/>
            <rFont val="Tahoma"/>
            <family val="2"/>
          </rPr>
          <t>The number of days this trade was open.</t>
        </r>
      </text>
    </comment>
    <comment ref="AN7" authorId="0" shapeId="0" xr:uid="{ACEE86E5-682F-471C-8DA1-81FEB558DDC4}">
      <text>
        <r>
          <rPr>
            <b/>
            <sz val="10"/>
            <color rgb="FF000000"/>
            <rFont val="Tahoma"/>
            <family val="2"/>
          </rPr>
          <t xml:space="preserve">All brokers have different fee structure.  You can use pricing specific to your situation if you know your brokers fees.
</t>
        </r>
        <r>
          <rPr>
            <b/>
            <sz val="10"/>
            <color rgb="FF000000"/>
            <rFont val="Tahoma"/>
            <family val="2"/>
          </rPr>
          <t xml:space="preserve">
</t>
        </r>
        <r>
          <rPr>
            <b/>
            <sz val="10"/>
            <color rgb="FF000000"/>
            <rFont val="Tahoma"/>
            <family val="2"/>
          </rPr>
          <t xml:space="preserve">For this spreadsheet I'm using base ThinkorSwim fees of 0$ for opening trades, and 0.65$ per option contract.
</t>
        </r>
        <r>
          <rPr>
            <b/>
            <sz val="10"/>
            <color rgb="FF000000"/>
            <rFont val="Tahoma"/>
            <family val="2"/>
          </rPr>
          <t>Note that some brokers are cheaper than that these days, but that will serve as a good baseline.</t>
        </r>
      </text>
    </comment>
    <comment ref="AO7" authorId="0" shapeId="0" xr:uid="{70D47F45-19E8-4CBC-A7FF-146A749F1076}">
      <text>
        <r>
          <rPr>
            <b/>
            <sz val="10"/>
            <color rgb="FF000000"/>
            <rFont val="Tahoma"/>
            <family val="2"/>
          </rPr>
          <t xml:space="preserve">The percentage of fees in comparison to the maximum potential loss of the trade.
</t>
        </r>
        <r>
          <rPr>
            <b/>
            <sz val="10"/>
            <color rgb="FF000000"/>
            <rFont val="Tahoma"/>
            <family val="2"/>
          </rPr>
          <t xml:space="preserve">
</t>
        </r>
        <r>
          <rPr>
            <b/>
            <sz val="10"/>
            <color rgb="FF000000"/>
            <rFont val="Tahoma"/>
            <family val="2"/>
          </rPr>
          <t xml:space="preserve">Fees are part of trading, but it's definitely in a persons best interest to try to reduce them as much as possible.
</t>
        </r>
        <r>
          <rPr>
            <b/>
            <sz val="10"/>
            <color rgb="FF000000"/>
            <rFont val="Tahoma"/>
            <family val="2"/>
          </rPr>
          <t>I would still recommend people stick to larger more established brokers.  Don't sacrifice quality for cheaper commissions</t>
        </r>
      </text>
    </comment>
    <comment ref="AP7" authorId="0" shapeId="0" xr:uid="{DDD669B4-6543-4BDD-9DD4-6D2D2A0CDD40}">
      <text>
        <r>
          <rPr>
            <b/>
            <sz val="10"/>
            <color rgb="FF000000"/>
            <rFont val="Tahoma"/>
            <family val="2"/>
          </rPr>
          <t>The final trade profit measured in dollars.</t>
        </r>
      </text>
    </comment>
    <comment ref="AQ7" authorId="0" shapeId="0" xr:uid="{F36C1074-E809-46AD-89FC-D87416B6E545}">
      <text>
        <r>
          <rPr>
            <b/>
            <sz val="10"/>
            <color rgb="FF000000"/>
            <rFont val="Tahoma"/>
            <family val="2"/>
          </rPr>
          <t xml:space="preserve">The final trade profit in relation to the maximum loss.
</t>
        </r>
        <r>
          <rPr>
            <b/>
            <sz val="10"/>
            <color rgb="FF000000"/>
            <rFont val="Tahoma"/>
            <family val="2"/>
          </rPr>
          <t xml:space="preserve">
</t>
        </r>
        <r>
          <rPr>
            <b/>
            <sz val="10"/>
            <color rgb="FF000000"/>
            <rFont val="Tahoma"/>
            <family val="2"/>
          </rPr>
          <t xml:space="preserve">* This just shows the individual trade and is not an accurate representation of true rate of return.
</t>
        </r>
        <r>
          <rPr>
            <b/>
            <sz val="10"/>
            <color rgb="FF000000"/>
            <rFont val="Tahoma"/>
            <family val="2"/>
          </rPr>
          <t>Always default to "return on strategy allocation" for real performance</t>
        </r>
      </text>
    </comment>
    <comment ref="AR7" authorId="1" shapeId="0" xr:uid="{5B33410A-9288-4277-B2F2-BE7F0F65CE99}">
      <text>
        <r>
          <rPr>
            <b/>
            <sz val="10"/>
            <color rgb="FF000000"/>
            <rFont val="Tahoma"/>
            <family val="2"/>
          </rPr>
          <t xml:space="preserve">This is the rate of return of the individual trade in relation to the total Iron Condor Strategy allocation within our Total Portfolio Solution
</t>
        </r>
        <r>
          <rPr>
            <b/>
            <sz val="10"/>
            <color rgb="FF000000"/>
            <rFont val="Tahoma"/>
            <family val="2"/>
          </rPr>
          <t xml:space="preserve">
</t>
        </r>
        <r>
          <rPr>
            <b/>
            <sz val="10"/>
            <color rgb="FF000000"/>
            <rFont val="Tahoma"/>
            <family val="2"/>
          </rPr>
          <t>* This is the true rate of return of the trade, and the full contribution to the strategy for monthly performance</t>
        </r>
      </text>
    </comment>
    <comment ref="AS7" authorId="0" shapeId="0" xr:uid="{1571A70A-B78B-4FC9-A485-2019B8597AC4}">
      <text>
        <r>
          <rPr>
            <b/>
            <sz val="10"/>
            <color rgb="FF000000"/>
            <rFont val="Tahoma"/>
            <family val="2"/>
          </rPr>
          <t xml:space="preserve">The final return this trade contributed to the entire net liquidation value of the account.
</t>
        </r>
        <r>
          <rPr>
            <b/>
            <sz val="10"/>
            <color rgb="FF000000"/>
            <rFont val="Tahoma"/>
            <family val="2"/>
          </rPr>
          <t xml:space="preserve">
</t>
        </r>
        <r>
          <rPr>
            <b/>
            <sz val="10"/>
            <color rgb="FF000000"/>
            <rFont val="Tahoma"/>
            <family val="2"/>
          </rPr>
          <t xml:space="preserve">If you start to see larger negative values here with some of your trades, it could mean your allocation sizes are too large.
</t>
        </r>
        <r>
          <rPr>
            <b/>
            <sz val="10"/>
            <color rgb="FF000000"/>
            <rFont val="Tahoma"/>
            <family val="2"/>
          </rPr>
          <t>Delta neutral option strategies are best used when targeting smaller wins and losses, and more layering of trades.</t>
        </r>
      </text>
    </comment>
    <comment ref="AT7" authorId="0" shapeId="0" xr:uid="{144F7BC4-2D6B-40FC-8D51-B9C17BE5CCBF}">
      <text>
        <r>
          <rPr>
            <b/>
            <sz val="10"/>
            <color rgb="FF000000"/>
            <rFont val="Tahoma"/>
            <family val="2"/>
          </rPr>
          <t xml:space="preserve">You can always write down anything that stands out with the trade for future reference.
</t>
        </r>
        <r>
          <rPr>
            <b/>
            <sz val="10"/>
            <color rgb="FF000000"/>
            <rFont val="Tahoma"/>
            <family val="2"/>
          </rPr>
          <t xml:space="preserve">
</t>
        </r>
        <r>
          <rPr>
            <b/>
            <sz val="10"/>
            <color rgb="FF000000"/>
            <rFont val="Tahoma"/>
            <family val="2"/>
          </rPr>
          <t xml:space="preserve">Maybe you had an idea for a potential variation of the strategy.
</t>
        </r>
        <r>
          <rPr>
            <b/>
            <sz val="10"/>
            <color rgb="FF000000"/>
            <rFont val="Tahoma"/>
            <family val="2"/>
          </rPr>
          <t>Or you can make notes on a specific market environment and the effect that had on your trade.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Brent Osachoff</author>
    <author>Volatility Trading Strategies</author>
  </authors>
  <commentList>
    <comment ref="A2" authorId="0" shapeId="0" xr:uid="{664E0E1B-795D-C045-93B8-0C04645C1186}">
      <text>
        <r>
          <rPr>
            <b/>
            <sz val="10"/>
            <color rgb="FF000000"/>
            <rFont val="Tahoma"/>
            <family val="2"/>
          </rPr>
          <t xml:space="preserve">VTS Iron Condor strategy: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
</t>
        </r>
        <r>
          <rPr>
            <b/>
            <sz val="10"/>
            <color rgb="FF000000"/>
            <rFont val="Tahoma"/>
            <family val="2"/>
          </rPr>
          <t xml:space="preserve">"Rules of Engagement"
</t>
        </r>
        <r>
          <rPr>
            <b/>
            <sz val="10"/>
            <color rgb="FF000000"/>
            <rFont val="Tahoma"/>
            <family val="2"/>
          </rPr>
          <t xml:space="preserve">
</t>
        </r>
        <r>
          <rPr>
            <b/>
            <sz val="10"/>
            <color rgb="FF000000"/>
            <rFont val="Tahoma"/>
            <family val="2"/>
          </rPr>
          <t xml:space="preserve">
</t>
        </r>
        <r>
          <rPr>
            <b/>
            <sz val="10"/>
            <color rgb="FF000000"/>
            <rFont val="Tahoma"/>
            <family val="2"/>
          </rPr>
          <t xml:space="preserve">1)  We only target the most liquid ETFs because these are multi leg option spreads.  We need high Options liquidity in order to ensure good pricing on entries, and especially on exits
</t>
        </r>
        <r>
          <rPr>
            <b/>
            <sz val="10"/>
            <color rgb="FF000000"/>
            <rFont val="Tahoma"/>
            <family val="2"/>
          </rPr>
          <t xml:space="preserve">     -  SPY, QQQ, IWM, TLT, GLD, etc.
</t>
        </r>
        <r>
          <rPr>
            <b/>
            <sz val="10"/>
            <color rgb="FF000000"/>
            <rFont val="Tahoma"/>
            <family val="2"/>
          </rPr>
          <t xml:space="preserve">
</t>
        </r>
        <r>
          <rPr>
            <b/>
            <sz val="10"/>
            <color rgb="FF000000"/>
            <rFont val="Tahoma"/>
            <family val="2"/>
          </rPr>
          <t xml:space="preserve">2)  For Iron Condors we target 45 - 75 days to expiration  (around 60 is ideal, but we trade throughout the month with multiple layers of trades so we can go anywhere from 45 - 75 days)
</t>
        </r>
        <r>
          <rPr>
            <b/>
            <sz val="10"/>
            <color rgb="FF000000"/>
            <rFont val="Tahoma"/>
            <family val="2"/>
          </rPr>
          <t xml:space="preserve">
</t>
        </r>
        <r>
          <rPr>
            <b/>
            <sz val="10"/>
            <color rgb="FF000000"/>
            <rFont val="Tahoma"/>
            <family val="2"/>
          </rPr>
          <t xml:space="preserve">3)  For Calendars the days to expiration we use is the shorter dated short strike, also targeting 45 - 75 days to expiration.  The long strike will just be 1 month forward of the short dated strike.
</t>
        </r>
        <r>
          <rPr>
            <b/>
            <sz val="10"/>
            <color rgb="FF000000"/>
            <rFont val="Tahoma"/>
            <family val="2"/>
          </rPr>
          <t xml:space="preserve">
</t>
        </r>
        <r>
          <rPr>
            <b/>
            <sz val="10"/>
            <color rgb="FF000000"/>
            <rFont val="Tahoma"/>
            <family val="2"/>
          </rPr>
          <t xml:space="preserve">4)  We generally stick to the monthly expiration cycles as they have higher volume and better liquidity, but in highly liquid instruments like SPY for example we can also use the quarterly cycle.
</t>
        </r>
        <r>
          <rPr>
            <b/>
            <sz val="10"/>
            <color rgb="FF000000"/>
            <rFont val="Tahoma"/>
            <family val="2"/>
          </rPr>
          <t xml:space="preserve">
</t>
        </r>
        <r>
          <rPr>
            <b/>
            <sz val="10"/>
            <color rgb="FF000000"/>
            <rFont val="Tahoma"/>
            <family val="2"/>
          </rPr>
          <t xml:space="preserve">5)  For Iron Condors we typically target roughly 0.15 Delta strikes on both the short Put and short Call side.  The long strikes are the next high volume strike above and below.
</t>
        </r>
        <r>
          <rPr>
            <b/>
            <sz val="10"/>
            <color rgb="FF000000"/>
            <rFont val="Tahoma"/>
            <family val="2"/>
          </rPr>
          <t xml:space="preserve">
</t>
        </r>
        <r>
          <rPr>
            <b/>
            <sz val="10"/>
            <color rgb="FF000000"/>
            <rFont val="Tahoma"/>
            <family val="2"/>
          </rPr>
          <t xml:space="preserve">6)  If you have a larger account size  (&gt;500,000$)  then I would suggest paying closer attention to Lesson 24)  Optimizing to your Account Size
</t>
        </r>
        <r>
          <rPr>
            <b/>
            <sz val="10"/>
            <color rgb="FF000000"/>
            <rFont val="Tahoma"/>
            <family val="2"/>
          </rPr>
          <t xml:space="preserve">
</t>
        </r>
        <r>
          <rPr>
            <b/>
            <sz val="10"/>
            <color rgb="FF000000"/>
            <rFont val="Tahoma"/>
            <family val="2"/>
          </rPr>
          <t xml:space="preserve">7)  Allocation size for Iron Condors will be 3% of total net liquidiation value per trade.
</t>
        </r>
        <r>
          <rPr>
            <b/>
            <sz val="10"/>
            <color rgb="FF000000"/>
            <rFont val="Tahoma"/>
            <family val="2"/>
          </rPr>
          <t xml:space="preserve">     -  We use longer dated contracts and a stop-loss so the practical potential loss is significantly less than that.
</t>
        </r>
        <r>
          <rPr>
            <b/>
            <sz val="10"/>
            <color rgb="FF000000"/>
            <rFont val="Tahoma"/>
            <family val="2"/>
          </rPr>
          <t xml:space="preserve">
</t>
        </r>
        <r>
          <rPr>
            <b/>
            <sz val="10"/>
            <color rgb="FF000000"/>
            <rFont val="Tahoma"/>
            <family val="2"/>
          </rPr>
          <t xml:space="preserve">8)  Allocation size for Calendars will be 2% of total net liquidation value per trade.  Factoring in stops, the potential loss is significantly less than that.
</t>
        </r>
        <r>
          <rPr>
            <b/>
            <sz val="10"/>
            <color rgb="FF000000"/>
            <rFont val="Tahoma"/>
            <family val="2"/>
          </rPr>
          <t xml:space="preserve">
</t>
        </r>
        <r>
          <rPr>
            <b/>
            <sz val="10"/>
            <color rgb="FF000000"/>
            <rFont val="Tahoma"/>
            <family val="2"/>
          </rPr>
          <t xml:space="preserve">9)  We allow for as many as 3 trades to be on simultaneously, because layering over multiple strikes, time frames, and asset classes adds further diversification.
</t>
        </r>
        <r>
          <rPr>
            <b/>
            <sz val="10"/>
            <color rgb="FF000000"/>
            <rFont val="Tahoma"/>
            <family val="2"/>
          </rPr>
          <t xml:space="preserve">
</t>
        </r>
        <r>
          <rPr>
            <b/>
            <sz val="10"/>
            <color rgb="FF000000"/>
            <rFont val="Tahoma"/>
            <family val="2"/>
          </rPr>
          <t xml:space="preserve">10)  We use both a stop-gain and a stop-loss for Iron Condors
</t>
        </r>
        <r>
          <rPr>
            <b/>
            <sz val="10"/>
            <color rgb="FF000000"/>
            <rFont val="Tahoma"/>
            <family val="2"/>
          </rPr>
          <t xml:space="preserve">     -  Stop-gain is set at 0.5x the premium collected for the trade  (if you bring in 1$ in premium, the stop-gain is when it's trading at 0.50$)
</t>
        </r>
        <r>
          <rPr>
            <b/>
            <sz val="10"/>
            <color rgb="FF000000"/>
            <rFont val="Tahoma"/>
            <family val="2"/>
          </rPr>
          <t xml:space="preserve">     -  Stop-loss is set at 1.5x the premium collected for the trade  (if you bring in 1$ in premium, the stop-loss is when it's trading at 1.50$)
</t>
        </r>
        <r>
          <rPr>
            <b/>
            <sz val="10"/>
            <color rgb="FF000000"/>
            <rFont val="Tahoma"/>
            <family val="2"/>
          </rPr>
          <t xml:space="preserve">
</t>
        </r>
        <r>
          <rPr>
            <b/>
            <sz val="10"/>
            <color rgb="FF000000"/>
            <rFont val="Tahoma"/>
            <family val="2"/>
          </rPr>
          <t xml:space="preserve">11)  We use both a stop-gain and stop-loss for Calendars, that is different than Iron Condors because Calendars have a slightly different risk reward profile
</t>
        </r>
        <r>
          <rPr>
            <b/>
            <sz val="10"/>
            <color rgb="FF000000"/>
            <rFont val="Tahoma"/>
            <family val="2"/>
          </rPr>
          <t xml:space="preserve">     -  Stop-gain is set at 1.25x the premium paid for the trade  (if you pay a premium of 1$, the stop-gain is when the premium is above 1.25$)
</t>
        </r>
        <r>
          <rPr>
            <b/>
            <sz val="10"/>
            <color rgb="FF000000"/>
            <rFont val="Tahoma"/>
            <family val="2"/>
          </rPr>
          <t xml:space="preserve">     -  Stop-loss is set at 0.75x the premium paid for the trade  (if you pay a premium of 1$, the stop-loss is when the premium is below 0.75$)</t>
        </r>
      </text>
    </comment>
    <comment ref="A7" authorId="0" shapeId="0" xr:uid="{E611376A-ADBC-9640-9775-51D42CF781A5}">
      <text>
        <r>
          <rPr>
            <b/>
            <sz val="10"/>
            <color rgb="FF000000"/>
            <rFont val="Tahoma"/>
            <family val="2"/>
          </rPr>
          <t xml:space="preserve">Blue  -  Trades I'm planning to take
</t>
        </r>
        <r>
          <rPr>
            <b/>
            <sz val="10"/>
            <color rgb="FF000000"/>
            <rFont val="Tahoma"/>
            <family val="2"/>
          </rPr>
          <t xml:space="preserve">Yellow  -  I mark open trades in yellow
</t>
        </r>
        <r>
          <rPr>
            <b/>
            <sz val="10"/>
            <color rgb="FF000000"/>
            <rFont val="Tahoma"/>
            <family val="2"/>
          </rPr>
          <t xml:space="preserve">Green  -  Showing winning trades
</t>
        </r>
        <r>
          <rPr>
            <b/>
            <sz val="10"/>
            <color rgb="FF000000"/>
            <rFont val="Tahoma"/>
            <family val="2"/>
          </rPr>
          <t>Red  -  Showing losing trades</t>
        </r>
      </text>
    </comment>
    <comment ref="B7" authorId="0" shapeId="0" xr:uid="{7D90C64F-2DA7-0C42-85DC-8124B7C2B93B}">
      <text>
        <r>
          <rPr>
            <b/>
            <sz val="10"/>
            <color rgb="FF000000"/>
            <rFont val="Tahoma"/>
            <family val="2"/>
          </rPr>
          <t xml:space="preserve">Iron Condors are best utilized during mid to high volatility environments  (above 25th percentile of volatility metric)
</t>
        </r>
        <r>
          <rPr>
            <b/>
            <sz val="10"/>
            <color rgb="FF000000"/>
            <rFont val="Tahoma"/>
            <family val="2"/>
          </rPr>
          <t xml:space="preserve">Calendars are best utilized during low volatility environments  (below 25th percentile of volatility metric)
</t>
        </r>
        <r>
          <rPr>
            <b/>
            <sz val="10"/>
            <color rgb="FF000000"/>
            <rFont val="Tahoma"/>
            <family val="2"/>
          </rPr>
          <t xml:space="preserve">
</t>
        </r>
        <r>
          <rPr>
            <b/>
            <sz val="10"/>
            <color rgb="FF000000"/>
            <rFont val="Tahoma"/>
            <family val="2"/>
          </rPr>
          <t>Common metrics used to filter trades:  VTS Volatility Barometer, IV rank, VIX futures, VIX index, etc</t>
        </r>
      </text>
    </comment>
    <comment ref="C7" authorId="0" shapeId="0" xr:uid="{3915E8E4-12BC-4649-AA55-231839A81FC2}">
      <text>
        <r>
          <rPr>
            <b/>
            <sz val="10"/>
            <color rgb="FF000000"/>
            <rFont val="Tahoma"/>
            <family val="2"/>
          </rPr>
          <t>The date your trade was opened.</t>
        </r>
        <r>
          <rPr>
            <sz val="10"/>
            <color rgb="FF000000"/>
            <rFont val="Tahoma"/>
            <family val="2"/>
          </rPr>
          <t xml:space="preserve">
</t>
        </r>
      </text>
    </comment>
    <comment ref="D7" authorId="0" shapeId="0" xr:uid="{EBB5227A-67B0-4E44-938E-E3CE28B529E3}">
      <text>
        <r>
          <rPr>
            <b/>
            <sz val="10"/>
            <color rgb="FF000000"/>
            <rFont val="Tahoma"/>
            <family val="2"/>
          </rPr>
          <t>The ticker symbol for the underlying instrument being traded.</t>
        </r>
      </text>
    </comment>
    <comment ref="E7" authorId="0" shapeId="0" xr:uid="{BF0643F9-A946-0147-997A-C7AE9D590CA9}">
      <text>
        <r>
          <rPr>
            <b/>
            <sz val="10"/>
            <color rgb="FF000000"/>
            <rFont val="Tahoma"/>
            <family val="2"/>
          </rPr>
          <t xml:space="preserve">This is your entire portfolio value that all allocation sizes for all strategies will be based on.
</t>
        </r>
        <r>
          <rPr>
            <b/>
            <sz val="10"/>
            <color rgb="FF000000"/>
            <rFont val="Tahoma"/>
            <family val="2"/>
          </rPr>
          <t xml:space="preserve">
</t>
        </r>
        <r>
          <rPr>
            <b/>
            <sz val="10"/>
            <color rgb="FF000000"/>
            <rFont val="Tahoma"/>
            <family val="2"/>
          </rPr>
          <t xml:space="preserve">For any examples, I will my ThinkorSwim public account that you see in the videos and livestreams.
</t>
        </r>
        <r>
          <rPr>
            <b/>
            <sz val="10"/>
            <color rgb="FF000000"/>
            <rFont val="Tahoma"/>
            <family val="2"/>
          </rPr>
          <t>Options are more efficient to size off total net liquidation value, as it's very easy to take a small percent of it per trade</t>
        </r>
      </text>
    </comment>
    <comment ref="F7" authorId="0" shapeId="0" xr:uid="{F3865684-1427-1641-96B4-909107DDC458}">
      <text>
        <r>
          <rPr>
            <b/>
            <sz val="10"/>
            <color rgb="FF000000"/>
            <rFont val="Tahoma"/>
            <family val="2"/>
          </rPr>
          <t xml:space="preserve">The default maximum number of trades is set at 3, which means we will typically have 0-3 trades open at once.
</t>
        </r>
        <r>
          <rPr>
            <b/>
            <sz val="10"/>
            <color rgb="FF000000"/>
            <rFont val="Tahoma"/>
            <family val="2"/>
          </rPr>
          <t xml:space="preserve">
</t>
        </r>
        <r>
          <rPr>
            <b/>
            <sz val="10"/>
            <color rgb="FF000000"/>
            <rFont val="Tahoma"/>
            <family val="34"/>
          </rPr>
          <t>If you like the strategy and want to ramp up your trades, I suggest you increase the # of trades and reduce the size of each trade.  You can easily do 5-6 smaller trades staggered over different time periods and asset classes.</t>
        </r>
        <r>
          <rPr>
            <sz val="10"/>
            <color rgb="FF000000"/>
            <rFont val="Tahoma"/>
            <family val="34"/>
          </rPr>
          <t xml:space="preserve">
</t>
        </r>
      </text>
    </comment>
    <comment ref="G7" authorId="0" shapeId="0" xr:uid="{79AC9D2F-1143-F447-97BC-55B5662F04AA}">
      <text>
        <r>
          <rPr>
            <b/>
            <sz val="10"/>
            <color rgb="FF000000"/>
            <rFont val="Tahoma"/>
            <family val="2"/>
          </rPr>
          <t>This is the price of the underlying stock or index at the time you opened your trade.</t>
        </r>
      </text>
    </comment>
    <comment ref="H7" authorId="0" shapeId="0" xr:uid="{B348A230-D20E-AD49-99A7-A790279F6D5B}">
      <text>
        <r>
          <rPr>
            <b/>
            <sz val="10"/>
            <color rgb="FF000000"/>
            <rFont val="Tahoma"/>
            <family val="2"/>
          </rPr>
          <t xml:space="preserve">The expiration date for the trade.
</t>
        </r>
        <r>
          <rPr>
            <b/>
            <sz val="10"/>
            <color rgb="FF000000"/>
            <rFont val="Tahoma"/>
            <family val="2"/>
          </rPr>
          <t xml:space="preserve">
</t>
        </r>
        <r>
          <rPr>
            <b/>
            <sz val="10"/>
            <color rgb="FF000000"/>
            <rFont val="Tahoma"/>
            <family val="2"/>
          </rPr>
          <t>For Calendars we use the short dated front month contract as the expiration date.</t>
        </r>
      </text>
    </comment>
    <comment ref="I7" authorId="0" shapeId="0" xr:uid="{3F8438D0-5FB9-A942-8281-79520A937439}">
      <text>
        <r>
          <rPr>
            <b/>
            <sz val="10"/>
            <color rgb="FF000000"/>
            <rFont val="Tahoma"/>
            <family val="2"/>
          </rPr>
          <t xml:space="preserve">The number of days to expiration.
</t>
        </r>
        <r>
          <rPr>
            <b/>
            <sz val="10"/>
            <color rgb="FF000000"/>
            <rFont val="Tahoma"/>
            <family val="2"/>
          </rPr>
          <t xml:space="preserve">
</t>
        </r>
        <r>
          <rPr>
            <b/>
            <sz val="10"/>
            <color rgb="FF000000"/>
            <rFont val="Tahoma"/>
            <family val="2"/>
          </rPr>
          <t xml:space="preserve">Your trading software will show you the total number of days including weekends and holidays so input it here.
</t>
        </r>
        <r>
          <rPr>
            <b/>
            <sz val="10"/>
            <color rgb="FF000000"/>
            <rFont val="Tahoma"/>
            <family val="2"/>
          </rPr>
          <t>For Calendars, input the number of days to expiration as the shorter dated short strike of the trade.</t>
        </r>
      </text>
    </comment>
    <comment ref="J7" authorId="0" shapeId="0" xr:uid="{045CEB30-7D0A-654B-ACA8-845D9DA65CDA}">
      <text>
        <r>
          <rPr>
            <b/>
            <sz val="10"/>
            <color rgb="FF000000"/>
            <rFont val="Tahoma"/>
            <family val="2"/>
          </rPr>
          <t>The VIX index value at the time you opened your trade.</t>
        </r>
      </text>
    </comment>
    <comment ref="K7" authorId="0" shapeId="0" xr:uid="{77A04DDB-0B38-044E-A1BE-A40D82F01540}">
      <text>
        <r>
          <rPr>
            <b/>
            <sz val="10"/>
            <color rgb="FF000000"/>
            <rFont val="Tahoma"/>
            <family val="2"/>
          </rPr>
          <t xml:space="preserve">IV percentile tells us where the current implied volatility is compared to itself over the past 1 year.
</t>
        </r>
        <r>
          <rPr>
            <b/>
            <sz val="10"/>
            <color rgb="FF000000"/>
            <rFont val="Tahoma"/>
            <family val="2"/>
          </rPr>
          <t xml:space="preserve">
</t>
        </r>
        <r>
          <rPr>
            <b/>
            <sz val="10"/>
            <color rgb="FF000000"/>
            <rFont val="Tahoma"/>
            <family val="2"/>
          </rPr>
          <t xml:space="preserve">In ThinkorSwim it's found in the "Today's Options Statistics" tab within the options string page.
</t>
        </r>
        <r>
          <rPr>
            <b/>
            <sz val="10"/>
            <color rgb="FF000000"/>
            <rFont val="Tahoma"/>
            <family val="2"/>
          </rPr>
          <t>If you use another software, you can contact their customer service if you can't find the value, or just leave this blank.</t>
        </r>
      </text>
    </comment>
    <comment ref="L7" authorId="0" shapeId="0" xr:uid="{52B35831-CEB7-0E48-B2E7-9519E31657A2}">
      <text>
        <r>
          <rPr>
            <b/>
            <sz val="10"/>
            <color rgb="FF000000"/>
            <rFont val="Tahoma"/>
            <family val="2"/>
          </rPr>
          <t xml:space="preserve">If you do subscribe to the VTS Daily Trade Signals emails  (volatilitytradingstrategies.com)  then you will use the VTS Volatility Barometer as the best volatility filter for trading and selecting Iron Condors vs Calendars.
</t>
        </r>
        <r>
          <rPr>
            <b/>
            <sz val="10"/>
            <color rgb="FF000000"/>
            <rFont val="Tahoma"/>
            <family val="2"/>
          </rPr>
          <t xml:space="preserve">
</t>
        </r>
        <r>
          <rPr>
            <b/>
            <sz val="10"/>
            <color rgb="FF000000"/>
            <rFont val="Tahoma"/>
            <family val="2"/>
          </rPr>
          <t>Volatility Barometer video:  https://www.youtube.com/watch?v=xV8-oGBcwg8&amp;ab_channel=VTS-BrentOsachoff</t>
        </r>
      </text>
    </comment>
    <comment ref="M7" authorId="0" shapeId="0" xr:uid="{72C81139-7AE6-0A4B-A74C-C0BF2376B80C}">
      <text>
        <r>
          <rPr>
            <b/>
            <sz val="10"/>
            <color rgb="FF000000"/>
            <rFont val="Tahoma"/>
            <family val="2"/>
          </rPr>
          <t xml:space="preserve">For Iron Condors I prefer a Short Put Delta near 0.15.  I will usually find the 0.15 delta strike and move further out of the money to the ideal strike price with high volume.
</t>
        </r>
        <r>
          <rPr>
            <b/>
            <sz val="10"/>
            <color rgb="FF000000"/>
            <rFont val="Tahoma"/>
            <family val="2"/>
          </rPr>
          <t xml:space="preserve">
</t>
        </r>
        <r>
          <rPr>
            <b/>
            <sz val="10"/>
            <color rgb="FF000000"/>
            <rFont val="Tahoma"/>
            <family val="2"/>
          </rPr>
          <t>For Calendars, both strikes are the same and near the money, so we don't use delta for Calendar strike selection.</t>
        </r>
      </text>
    </comment>
    <comment ref="N7" authorId="0" shapeId="0" xr:uid="{F8C536A3-CD66-9E47-A084-73CA403BC419}">
      <text>
        <r>
          <rPr>
            <b/>
            <sz val="10"/>
            <color rgb="FF000000"/>
            <rFont val="Tahoma"/>
            <family val="2"/>
          </rPr>
          <t xml:space="preserve">For Iron Condors I prefer a Short Call Delta near 0.15.  I will usually find the 0.15 delta strike and move further out of the money to the ideal strike price with high volume.
</t>
        </r>
        <r>
          <rPr>
            <b/>
            <sz val="10"/>
            <color rgb="FF000000"/>
            <rFont val="Tahoma"/>
            <family val="2"/>
          </rPr>
          <t xml:space="preserve">
</t>
        </r>
        <r>
          <rPr>
            <b/>
            <sz val="10"/>
            <color rgb="FF000000"/>
            <rFont val="Tahoma"/>
            <family val="2"/>
          </rPr>
          <t>For Calendars, both strikes are the same and near the money, so we don't use delta for Calendar strike selection.</t>
        </r>
      </text>
    </comment>
    <comment ref="O7" authorId="0" shapeId="0" xr:uid="{CEF9DEA9-0272-E14B-AC59-D534B9980F79}">
      <text>
        <r>
          <rPr>
            <b/>
            <sz val="10"/>
            <color rgb="FF000000"/>
            <rFont val="Tahoma"/>
            <family val="2"/>
          </rPr>
          <t xml:space="preserve">For Iron Condors this will be the further out of the money Long Put strike to define the trade and cap the loss.
</t>
        </r>
        <r>
          <rPr>
            <b/>
            <sz val="10"/>
            <color rgb="FF000000"/>
            <rFont val="Tahoma"/>
            <family val="2"/>
          </rPr>
          <t xml:space="preserve">
</t>
        </r>
        <r>
          <rPr>
            <b/>
            <sz val="10"/>
            <color rgb="FF000000"/>
            <rFont val="Tahoma"/>
            <family val="2"/>
          </rPr>
          <t>For Calendars this will be the longer dated Long Put Option.</t>
        </r>
      </text>
    </comment>
    <comment ref="P7" authorId="0" shapeId="0" xr:uid="{BADA4B6A-EC75-B640-A203-C0A892554E7D}">
      <text>
        <r>
          <rPr>
            <b/>
            <sz val="10"/>
            <color rgb="FF000000"/>
            <rFont val="Tahoma"/>
            <family val="2"/>
          </rPr>
          <t xml:space="preserve">For Iron Condors this will be the closer to the money Short Put strike around 0.15 Delta.
</t>
        </r>
        <r>
          <rPr>
            <b/>
            <sz val="10"/>
            <color rgb="FF000000"/>
            <rFont val="Tahoma"/>
            <family val="2"/>
          </rPr>
          <t xml:space="preserve">
</t>
        </r>
        <r>
          <rPr>
            <b/>
            <sz val="10"/>
            <color rgb="FF000000"/>
            <rFont val="Tahoma"/>
            <family val="2"/>
          </rPr>
          <t>For Calendars this will be the shorter dated Short Put Option.</t>
        </r>
      </text>
    </comment>
    <comment ref="Q7" authorId="0" shapeId="0" xr:uid="{94147A96-CA55-8A48-9B29-1FD9D562EF99}">
      <text>
        <r>
          <rPr>
            <b/>
            <sz val="10"/>
            <color rgb="FF000000"/>
            <rFont val="Tahoma"/>
            <family val="2"/>
          </rPr>
          <t xml:space="preserve">For Iron Condors this will be the closer to the money Short Call strike around 0.15 Delta.
</t>
        </r>
        <r>
          <rPr>
            <b/>
            <sz val="10"/>
            <color rgb="FF000000"/>
            <rFont val="Tahoma"/>
            <family val="2"/>
          </rPr>
          <t xml:space="preserve">
</t>
        </r>
        <r>
          <rPr>
            <b/>
            <sz val="10"/>
            <color rgb="FF000000"/>
            <rFont val="Tahoma"/>
            <family val="2"/>
          </rPr>
          <t>For Calendars we don't use Calls, it's a long and short Put only so ignore this.</t>
        </r>
      </text>
    </comment>
    <comment ref="R7" authorId="0" shapeId="0" xr:uid="{A324D044-A680-CF42-A727-4A62265627B9}">
      <text>
        <r>
          <rPr>
            <b/>
            <sz val="10"/>
            <color rgb="FF000000"/>
            <rFont val="Tahoma"/>
            <family val="2"/>
          </rPr>
          <t xml:space="preserve">For Iron Condors this will be the further out of the money Long Call strike to define the trade and cap the loss.
</t>
        </r>
        <r>
          <rPr>
            <b/>
            <sz val="10"/>
            <color rgb="FF000000"/>
            <rFont val="Tahoma"/>
            <family val="2"/>
          </rPr>
          <t xml:space="preserve">
</t>
        </r>
        <r>
          <rPr>
            <b/>
            <sz val="10"/>
            <color rgb="FF000000"/>
            <rFont val="Tahoma"/>
            <family val="2"/>
          </rPr>
          <t>For Calendars we don't use Calls, it's a long and short Put only so ignore this.</t>
        </r>
      </text>
    </comment>
    <comment ref="S7" authorId="0" shapeId="0" xr:uid="{0BB29BF3-560F-DC4E-BF45-7E3DE51D1338}">
      <text>
        <r>
          <rPr>
            <b/>
            <sz val="10"/>
            <color rgb="FF000000"/>
            <rFont val="Tahoma"/>
            <family val="2"/>
          </rPr>
          <t xml:space="preserve">The open premium for your trade.
</t>
        </r>
        <r>
          <rPr>
            <b/>
            <sz val="10"/>
            <color rgb="FF000000"/>
            <rFont val="Tahoma"/>
            <family val="2"/>
          </rPr>
          <t xml:space="preserve">
</t>
        </r>
        <r>
          <rPr>
            <b/>
            <sz val="10"/>
            <color rgb="FF000000"/>
            <rFont val="Tahoma"/>
            <family val="2"/>
          </rPr>
          <t xml:space="preserve">For Iron Condors this will be shown as a credit.
</t>
        </r>
        <r>
          <rPr>
            <b/>
            <sz val="10"/>
            <color rgb="FF000000"/>
            <rFont val="Tahoma"/>
            <family val="2"/>
          </rPr>
          <t>For Calendars this will be shown as a debit.</t>
        </r>
      </text>
    </comment>
    <comment ref="T7" authorId="0" shapeId="0" xr:uid="{444A8B36-9B36-7C49-BD38-D0187D8EC997}">
      <text>
        <r>
          <rPr>
            <b/>
            <sz val="10"/>
            <color rgb="FF000000"/>
            <rFont val="Tahoma"/>
            <family val="2"/>
          </rPr>
          <t xml:space="preserve">The number of contracts opened.
</t>
        </r>
        <r>
          <rPr>
            <b/>
            <sz val="10"/>
            <color rgb="FF000000"/>
            <rFont val="Tahoma"/>
            <family val="2"/>
          </rPr>
          <t xml:space="preserve">
</t>
        </r>
        <r>
          <rPr>
            <b/>
            <sz val="10"/>
            <color rgb="FF000000"/>
            <rFont val="Tahoma"/>
            <family val="2"/>
          </rPr>
          <t xml:space="preserve">This will equal the amount that is slightly below the maximum loss for the trade.
</t>
        </r>
        <r>
          <rPr>
            <b/>
            <sz val="10"/>
            <color rgb="FF000000"/>
            <rFont val="Tahoma"/>
            <family val="2"/>
          </rPr>
          <t>Adjust your # of contracts until this maximum loss value is no more than the current trade allocation.</t>
        </r>
      </text>
    </comment>
    <comment ref="U7" authorId="0" shapeId="0" xr:uid="{BD928726-1930-D74F-83A9-B95AB4C2702E}">
      <text>
        <r>
          <rPr>
            <b/>
            <sz val="10"/>
            <color rgb="FF000000"/>
            <rFont val="Tahoma"/>
            <family val="2"/>
          </rPr>
          <t xml:space="preserve">The maximum possible loss on your trade in the worst case scenario.  
</t>
        </r>
        <r>
          <rPr>
            <b/>
            <sz val="10"/>
            <color rgb="FF000000"/>
            <rFont val="Tahoma"/>
            <family val="2"/>
          </rPr>
          <t xml:space="preserve">
</t>
        </r>
        <r>
          <rPr>
            <b/>
            <sz val="10"/>
            <color rgb="FF000000"/>
            <rFont val="Tahoma"/>
            <family val="2"/>
          </rPr>
          <t xml:space="preserve">For Iron Condors the maximum loss is the difference in the strike gap minus the premium collected.
</t>
        </r>
        <r>
          <rPr>
            <b/>
            <sz val="10"/>
            <color rgb="FF000000"/>
            <rFont val="Tahoma"/>
            <family val="2"/>
          </rPr>
          <t>For Calendars the maximum loss is the full premium paid to open the trade.</t>
        </r>
      </text>
    </comment>
    <comment ref="V7" authorId="0" shapeId="0" xr:uid="{DB28E4D5-9FA1-0D41-8ADA-70416745AC11}">
      <text>
        <r>
          <rPr>
            <b/>
            <sz val="10"/>
            <color rgb="FF000000"/>
            <rFont val="Tahoma"/>
            <family val="2"/>
          </rPr>
          <t xml:space="preserve">For Iron Condors this is 3% of your total net liquidation value.
</t>
        </r>
        <r>
          <rPr>
            <b/>
            <sz val="10"/>
            <color rgb="FF000000"/>
            <rFont val="Tahoma"/>
            <family val="2"/>
          </rPr>
          <t xml:space="preserve">For Calendars this is 2% of your total net liquidation value.
</t>
        </r>
        <r>
          <rPr>
            <b/>
            <sz val="10"/>
            <color rgb="FF000000"/>
            <rFont val="Tahoma"/>
            <family val="2"/>
          </rPr>
          <t xml:space="preserve">
</t>
        </r>
        <r>
          <rPr>
            <b/>
            <sz val="10"/>
            <color rgb="FF000000"/>
            <rFont val="Tahoma"/>
            <family val="2"/>
          </rPr>
          <t>We do use a stop-loss and stop-gain so most of our trades will have a practical maximum loss of significantly below 3%.</t>
        </r>
      </text>
    </comment>
    <comment ref="W7" authorId="0" shapeId="0" xr:uid="{A925F8E6-CEFD-A247-AE82-7AD69DA615AD}">
      <text>
        <r>
          <rPr>
            <b/>
            <sz val="10"/>
            <color rgb="FF000000"/>
            <rFont val="Tahoma"/>
            <family val="2"/>
          </rPr>
          <t xml:space="preserve">This is the difference between the short and long strikes, and since Iron Condors use symmetrical trades, either the call or the put side can be used.
</t>
        </r>
        <r>
          <rPr>
            <b/>
            <sz val="10"/>
            <color rgb="FF000000"/>
            <rFont val="Tahoma"/>
            <family val="2"/>
          </rPr>
          <t xml:space="preserve">
</t>
        </r>
        <r>
          <rPr>
            <b/>
            <sz val="10"/>
            <color rgb="FF000000"/>
            <rFont val="Tahoma"/>
            <family val="2"/>
          </rPr>
          <t>For Calendars there is no strike gap so ignore this.</t>
        </r>
      </text>
    </comment>
    <comment ref="X7" authorId="0" shapeId="0" xr:uid="{0A164D28-C273-2F4C-887D-797CB5381541}">
      <text>
        <r>
          <rPr>
            <b/>
            <sz val="10"/>
            <color rgb="FF000000"/>
            <rFont val="Tahoma"/>
            <family val="2"/>
          </rPr>
          <t xml:space="preserve">The current probability of the trade being profitable.
</t>
        </r>
        <r>
          <rPr>
            <b/>
            <sz val="10"/>
            <color rgb="FF000000"/>
            <rFont val="Tahoma"/>
            <family val="2"/>
          </rPr>
          <t xml:space="preserve">
</t>
        </r>
        <r>
          <rPr>
            <b/>
            <sz val="10"/>
            <color rgb="FF000000"/>
            <rFont val="Tahoma"/>
            <family val="2"/>
          </rPr>
          <t xml:space="preserve">For Iron Condors this is just based on the premium brought in compared to the difference in strike gap.
</t>
        </r>
        <r>
          <rPr>
            <b/>
            <sz val="10"/>
            <color rgb="FF000000"/>
            <rFont val="Tahoma"/>
            <family val="2"/>
          </rPr>
          <t>For Calendars we ignore this.</t>
        </r>
      </text>
    </comment>
    <comment ref="Y7" authorId="0" shapeId="0" xr:uid="{9FA1F2BC-B78E-C043-A4C2-460DAD5AB569}">
      <text>
        <r>
          <rPr>
            <b/>
            <sz val="10"/>
            <color rgb="FF000000"/>
            <rFont val="Tahoma"/>
            <family val="2"/>
          </rPr>
          <t xml:space="preserve">The percent distance from the price the trade was opened at to the Short Put strike for the Iron Condor.
</t>
        </r>
        <r>
          <rPr>
            <b/>
            <sz val="10"/>
            <color rgb="FF000000"/>
            <rFont val="Tahoma"/>
            <family val="2"/>
          </rPr>
          <t xml:space="preserve">
</t>
        </r>
        <r>
          <rPr>
            <b/>
            <sz val="10"/>
            <color rgb="FF000000"/>
            <rFont val="Tahoma"/>
            <family val="2"/>
          </rPr>
          <t xml:space="preserve">For Calendars we ignore this.
</t>
        </r>
      </text>
    </comment>
    <comment ref="Z7" authorId="0" shapeId="0" xr:uid="{1DEBB7D2-60C3-F14A-8501-6225C20CE24D}">
      <text>
        <r>
          <rPr>
            <b/>
            <sz val="10"/>
            <color rgb="FF000000"/>
            <rFont val="Tahoma"/>
            <family val="2"/>
          </rPr>
          <t xml:space="preserve">The percent distance from the price the trade was opened at to the Short Call strike for the Iron Condor.
</t>
        </r>
        <r>
          <rPr>
            <b/>
            <sz val="10"/>
            <color rgb="FF000000"/>
            <rFont val="Tahoma"/>
            <family val="2"/>
          </rPr>
          <t xml:space="preserve">
</t>
        </r>
        <r>
          <rPr>
            <b/>
            <sz val="10"/>
            <color rgb="FF000000"/>
            <rFont val="Tahoma"/>
            <family val="2"/>
          </rPr>
          <t>For Calendars we ignore this.</t>
        </r>
      </text>
    </comment>
    <comment ref="AA7" authorId="0" shapeId="0" xr:uid="{21805BFC-3D82-4847-8F44-653F2D5DA1F5}">
      <text>
        <r>
          <rPr>
            <b/>
            <sz val="10"/>
            <color rgb="FF000000"/>
            <rFont val="Tahoma"/>
            <family val="2"/>
          </rPr>
          <t xml:space="preserve">Iron Condors use a stop-gain equal to 0.5x the premium collected for the trade.
</t>
        </r>
        <r>
          <rPr>
            <b/>
            <sz val="10"/>
            <color rgb="FF000000"/>
            <rFont val="Tahoma"/>
            <family val="2"/>
          </rPr>
          <t xml:space="preserve">
</t>
        </r>
        <r>
          <rPr>
            <b/>
            <sz val="10"/>
            <color rgb="FF000000"/>
            <rFont val="Tahoma"/>
            <family val="2"/>
          </rPr>
          <t>Calendars use a stop-gain equal to 1.25x the premium paid for the trade.</t>
        </r>
      </text>
    </comment>
    <comment ref="AB7" authorId="0" shapeId="0" xr:uid="{C5603CF8-48C4-2C42-81D1-993157F0997F}">
      <text>
        <r>
          <rPr>
            <b/>
            <sz val="10"/>
            <color rgb="FF000000"/>
            <rFont val="Tahoma"/>
            <family val="2"/>
          </rPr>
          <t xml:space="preserve">For Iron Condors this is 50% of the maximum possible profit measured in dollars.
</t>
        </r>
        <r>
          <rPr>
            <b/>
            <sz val="10"/>
            <color rgb="FF000000"/>
            <rFont val="Tahoma"/>
            <family val="2"/>
          </rPr>
          <t xml:space="preserve">
</t>
        </r>
        <r>
          <rPr>
            <b/>
            <sz val="10"/>
            <color rgb="FF000000"/>
            <rFont val="Tahoma"/>
            <family val="2"/>
          </rPr>
          <t>For Calendars this is 25% above the break even value measured in dollars.</t>
        </r>
      </text>
    </comment>
    <comment ref="AC7" authorId="0" shapeId="0" xr:uid="{B28B63E1-7C56-7141-B6EF-36222EE08AC5}">
      <text>
        <r>
          <rPr>
            <b/>
            <sz val="10"/>
            <color rgb="FF000000"/>
            <rFont val="Tahoma"/>
            <family val="2"/>
          </rPr>
          <t xml:space="preserve">For Iron Condors this stop-loss will be 1.5x the premium brought in for the trade.
</t>
        </r>
        <r>
          <rPr>
            <b/>
            <sz val="10"/>
            <color rgb="FF000000"/>
            <rFont val="Tahoma"/>
            <family val="2"/>
          </rPr>
          <t xml:space="preserve">
</t>
        </r>
        <r>
          <rPr>
            <b/>
            <sz val="10"/>
            <color rgb="FF000000"/>
            <rFont val="Tahoma"/>
            <family val="2"/>
          </rPr>
          <t>For Calendars this stop-loss will be 0.75x the premium paid to open the trade.</t>
        </r>
      </text>
    </comment>
    <comment ref="AD7" authorId="0" shapeId="0" xr:uid="{18CF6ACA-C509-6649-99EF-C5F6ED5DD445}">
      <text>
        <r>
          <rPr>
            <b/>
            <sz val="10"/>
            <color rgb="FF000000"/>
            <rFont val="Tahoma"/>
            <family val="2"/>
          </rPr>
          <t xml:space="preserve">For Iron Condors this is when the trade has lost 50% of premium collected for the trade.
</t>
        </r>
        <r>
          <rPr>
            <b/>
            <sz val="10"/>
            <color rgb="FF000000"/>
            <rFont val="Tahoma"/>
            <family val="2"/>
          </rPr>
          <t xml:space="preserve">
</t>
        </r>
        <r>
          <rPr>
            <b/>
            <sz val="10"/>
            <color rgb="FF000000"/>
            <rFont val="Tahoma"/>
            <family val="2"/>
          </rPr>
          <t>For Calendars this is 25% above the break even value measured in dollars.</t>
        </r>
      </text>
    </comment>
    <comment ref="AE7" authorId="0" shapeId="0" xr:uid="{6BA0EA66-B5C5-5742-AD45-51B265D4C424}">
      <text>
        <r>
          <rPr>
            <b/>
            <sz val="10"/>
            <color rgb="FF000000"/>
            <rFont val="Tahoma"/>
            <family val="2"/>
          </rPr>
          <t xml:space="preserve">4% below the price the trade was opened.
</t>
        </r>
        <r>
          <rPr>
            <b/>
            <sz val="10"/>
            <color rgb="FF000000"/>
            <rFont val="Tahoma"/>
            <family val="2"/>
          </rPr>
          <t xml:space="preserve">
</t>
        </r>
        <r>
          <rPr>
            <b/>
            <sz val="10"/>
            <color rgb="FF000000"/>
            <rFont val="Tahoma"/>
            <family val="2"/>
          </rPr>
          <t>Layering trades is part of the system.  To avoid redundancy, I don't take follow up trades on the same underlying security and same expiration unless it has moved at least 4% from where I originally opened the trade.</t>
        </r>
      </text>
    </comment>
    <comment ref="AF7" authorId="0" shapeId="0" xr:uid="{A6649DFC-500D-7B46-B293-C38147028CEC}">
      <text>
        <r>
          <rPr>
            <b/>
            <sz val="10"/>
            <color rgb="FF000000"/>
            <rFont val="Tahoma"/>
            <family val="2"/>
          </rPr>
          <t xml:space="preserve">4% above the price the trade was opened.
</t>
        </r>
        <r>
          <rPr>
            <b/>
            <sz val="10"/>
            <color rgb="FF000000"/>
            <rFont val="Tahoma"/>
            <family val="2"/>
          </rPr>
          <t xml:space="preserve">
</t>
        </r>
        <r>
          <rPr>
            <b/>
            <sz val="10"/>
            <color rgb="FF000000"/>
            <rFont val="Tahoma"/>
            <family val="2"/>
          </rPr>
          <t>Layering trades is part of the system.  To avoid redundancy, I don't take follow up trades on the same underlying security and same expiration unless it has moved at least 4% from where I originally opened the trade.</t>
        </r>
      </text>
    </comment>
    <comment ref="AH7" authorId="0" shapeId="0" xr:uid="{49231610-E883-3445-8C1C-A28944ED892C}">
      <text>
        <r>
          <rPr>
            <b/>
            <sz val="10"/>
            <color rgb="FF000000"/>
            <rFont val="Tahoma"/>
            <family val="2"/>
          </rPr>
          <t>The date you closed your trade</t>
        </r>
        <r>
          <rPr>
            <sz val="10"/>
            <color rgb="FF000000"/>
            <rFont val="Tahoma"/>
            <family val="2"/>
          </rPr>
          <t>.</t>
        </r>
      </text>
    </comment>
    <comment ref="AI7" authorId="0" shapeId="0" xr:uid="{2E952A00-949C-254E-BA9A-6D9B2CDF4B8D}">
      <text>
        <r>
          <rPr>
            <b/>
            <sz val="10"/>
            <color rgb="FF000000"/>
            <rFont val="Tahoma"/>
            <family val="2"/>
          </rPr>
          <t>The price of the underlying when you closed your trade.</t>
        </r>
      </text>
    </comment>
    <comment ref="AJ7" authorId="1" shapeId="0" xr:uid="{BE8C9B03-2260-8E4E-B7AB-56A8A941C0DF}">
      <text>
        <r>
          <rPr>
            <b/>
            <sz val="10"/>
            <color rgb="FF000000"/>
            <rFont val="Tahoma"/>
            <family val="2"/>
          </rPr>
          <t>Shows how much the underlying security moved from the day it was opened until closed</t>
        </r>
      </text>
    </comment>
    <comment ref="AK7" authorId="0" shapeId="0" xr:uid="{BCEA7D0F-FE6A-E046-A50B-C98461EF6634}">
      <text>
        <r>
          <rPr>
            <b/>
            <sz val="10"/>
            <color rgb="FF000000"/>
            <rFont val="Tahoma"/>
            <family val="2"/>
          </rPr>
          <t>The final premium you closed your trade for.</t>
        </r>
      </text>
    </comment>
    <comment ref="AL7" authorId="0" shapeId="0" xr:uid="{8CC8466D-38AB-FD4B-A065-F9EA5B88BF22}">
      <text>
        <r>
          <rPr>
            <b/>
            <sz val="10"/>
            <color rgb="FF000000"/>
            <rFont val="Tahoma"/>
            <family val="2"/>
          </rPr>
          <t>The number of days this trade was open.</t>
        </r>
      </text>
    </comment>
    <comment ref="AM7" authorId="0" shapeId="0" xr:uid="{531643F6-8722-E947-8065-F890689A8E07}">
      <text>
        <r>
          <rPr>
            <b/>
            <sz val="10"/>
            <color rgb="FF000000"/>
            <rFont val="Tahoma"/>
            <family val="2"/>
          </rPr>
          <t xml:space="preserve">All brokers have different fee structure.  You can use pricing specific to your situation if you know your brokers fees.
</t>
        </r>
        <r>
          <rPr>
            <b/>
            <sz val="10"/>
            <color rgb="FF000000"/>
            <rFont val="Tahoma"/>
            <family val="2"/>
          </rPr>
          <t xml:space="preserve">
</t>
        </r>
        <r>
          <rPr>
            <b/>
            <sz val="10"/>
            <color rgb="FF000000"/>
            <rFont val="Tahoma"/>
            <family val="2"/>
          </rPr>
          <t xml:space="preserve">For this spreadsheet I'm using base ThinkorSwim fees of 0$ for opening trades, and 0.65$ per option contract.
</t>
        </r>
        <r>
          <rPr>
            <b/>
            <sz val="10"/>
            <color rgb="FF000000"/>
            <rFont val="Tahoma"/>
            <family val="2"/>
          </rPr>
          <t>Note that some brokers are cheaper than that these days, but that will serve as a good baseline.</t>
        </r>
      </text>
    </comment>
    <comment ref="AN7" authorId="0" shapeId="0" xr:uid="{4B1F5E95-767C-3546-9792-EF20B1C759E5}">
      <text>
        <r>
          <rPr>
            <b/>
            <sz val="10"/>
            <color rgb="FF000000"/>
            <rFont val="Tahoma"/>
            <family val="2"/>
          </rPr>
          <t xml:space="preserve">The percentage of fees in comparison to the maximum potential loss of the trade.
</t>
        </r>
        <r>
          <rPr>
            <b/>
            <sz val="10"/>
            <color rgb="FF000000"/>
            <rFont val="Tahoma"/>
            <family val="2"/>
          </rPr>
          <t xml:space="preserve">
</t>
        </r>
        <r>
          <rPr>
            <b/>
            <sz val="10"/>
            <color rgb="FF000000"/>
            <rFont val="Tahoma"/>
            <family val="2"/>
          </rPr>
          <t xml:space="preserve">Fees are part of trading, but it's definitely in a persons best interest to try to reduce them as much as possible.
</t>
        </r>
        <r>
          <rPr>
            <b/>
            <sz val="10"/>
            <color rgb="FF000000"/>
            <rFont val="Tahoma"/>
            <family val="2"/>
          </rPr>
          <t>I would still recommend people stick to larger more established brokers.  Don't sacrifice quality for cheaper commissions</t>
        </r>
      </text>
    </comment>
    <comment ref="AO7" authorId="0" shapeId="0" xr:uid="{71DF28F9-FBF8-6143-B68D-92ADD9C8AF44}">
      <text>
        <r>
          <rPr>
            <b/>
            <sz val="10"/>
            <color rgb="FF000000"/>
            <rFont val="Tahoma"/>
            <family val="2"/>
          </rPr>
          <t>The final trade profit measured in dollars.</t>
        </r>
      </text>
    </comment>
    <comment ref="AP7" authorId="0" shapeId="0" xr:uid="{711A3098-A692-9C41-9321-C5F64F93D4EB}">
      <text>
        <r>
          <rPr>
            <b/>
            <sz val="10"/>
            <color rgb="FF000000"/>
            <rFont val="Tahoma"/>
            <family val="2"/>
          </rPr>
          <t xml:space="preserve">The final trade profit in relation to the maximum loss.
</t>
        </r>
        <r>
          <rPr>
            <b/>
            <sz val="10"/>
            <color rgb="FF000000"/>
            <rFont val="Tahoma"/>
            <family val="2"/>
          </rPr>
          <t xml:space="preserve">
</t>
        </r>
        <r>
          <rPr>
            <b/>
            <sz val="10"/>
            <color rgb="FF000000"/>
            <rFont val="Tahoma"/>
            <family val="2"/>
          </rPr>
          <t xml:space="preserve">* This just shows the individual trade and is not an accurate representation of true rate of return.
</t>
        </r>
        <r>
          <rPr>
            <b/>
            <sz val="10"/>
            <color rgb="FF000000"/>
            <rFont val="Tahoma"/>
            <family val="2"/>
          </rPr>
          <t>Always default to "return on strategy allocation" for real performance</t>
        </r>
      </text>
    </comment>
    <comment ref="AQ7" authorId="1" shapeId="0" xr:uid="{A3866527-268D-AA41-81CD-99A2500F7596}">
      <text>
        <r>
          <rPr>
            <b/>
            <sz val="10"/>
            <color rgb="FF000000"/>
            <rFont val="Tahoma"/>
            <family val="2"/>
          </rPr>
          <t xml:space="preserve">This is the rate of return of the individual trade in relation to the total Iron Condor Strategy allocation within our Total Portfolio Solution
</t>
        </r>
        <r>
          <rPr>
            <b/>
            <sz val="10"/>
            <color rgb="FF000000"/>
            <rFont val="Tahoma"/>
            <family val="2"/>
          </rPr>
          <t xml:space="preserve">
</t>
        </r>
        <r>
          <rPr>
            <b/>
            <sz val="10"/>
            <color rgb="FF000000"/>
            <rFont val="Tahoma"/>
            <family val="2"/>
          </rPr>
          <t>* This is the true rate of return of the trade, and the full contribution to the strategy for monthly performance</t>
        </r>
      </text>
    </comment>
    <comment ref="AR7" authorId="0" shapeId="0" xr:uid="{65B99068-421A-3941-B5C6-A42C01D8B82A}">
      <text>
        <r>
          <rPr>
            <b/>
            <sz val="10"/>
            <color rgb="FF000000"/>
            <rFont val="Tahoma"/>
            <family val="2"/>
          </rPr>
          <t xml:space="preserve">The final return this trade contributed to the entire net liquidation value of the account.
</t>
        </r>
        <r>
          <rPr>
            <b/>
            <sz val="10"/>
            <color rgb="FF000000"/>
            <rFont val="Tahoma"/>
            <family val="2"/>
          </rPr>
          <t xml:space="preserve">
</t>
        </r>
        <r>
          <rPr>
            <b/>
            <sz val="10"/>
            <color rgb="FF000000"/>
            <rFont val="Tahoma"/>
            <family val="2"/>
          </rPr>
          <t xml:space="preserve">If you start to see larger negative values here with some of your trades, it could mean your allocation sizes are too large.
</t>
        </r>
        <r>
          <rPr>
            <b/>
            <sz val="10"/>
            <color rgb="FF000000"/>
            <rFont val="Tahoma"/>
            <family val="2"/>
          </rPr>
          <t>Delta neutral option strategies are best used when targeting smaller wins and losses, and more layering of trades.</t>
        </r>
      </text>
    </comment>
    <comment ref="AS7" authorId="0" shapeId="0" xr:uid="{12AC5495-DBB2-B744-87AC-B5DD88032712}">
      <text>
        <r>
          <rPr>
            <b/>
            <sz val="10"/>
            <color rgb="FF000000"/>
            <rFont val="Tahoma"/>
            <family val="2"/>
          </rPr>
          <t xml:space="preserve">You can always write down anything that stands out with the trade for future reference.
</t>
        </r>
        <r>
          <rPr>
            <b/>
            <sz val="10"/>
            <color rgb="FF000000"/>
            <rFont val="Tahoma"/>
            <family val="2"/>
          </rPr>
          <t xml:space="preserve">
</t>
        </r>
        <r>
          <rPr>
            <b/>
            <sz val="10"/>
            <color rgb="FF000000"/>
            <rFont val="Tahoma"/>
            <family val="2"/>
          </rPr>
          <t xml:space="preserve">Maybe you had an idea for a potential variation of the strategy.
</t>
        </r>
        <r>
          <rPr>
            <b/>
            <sz val="10"/>
            <color rgb="FF000000"/>
            <rFont val="Tahoma"/>
            <family val="2"/>
          </rPr>
          <t>Or you can make notes on a specific market environment and the effect that had on your trade.</t>
        </r>
      </text>
    </comment>
    <comment ref="A9" authorId="1" shapeId="0" xr:uid="{EA34CA9B-A1BF-4D41-8789-72FE3D267EBD}">
      <text>
        <r>
          <rPr>
            <b/>
            <sz val="10"/>
            <color rgb="FF000000"/>
            <rFont val="Tahoma"/>
            <family val="2"/>
          </rPr>
          <t>This is a recent live trade opened Jan 18, 2023 and closed Feb 17, 2023</t>
        </r>
      </text>
    </comment>
  </commentList>
</comments>
</file>

<file path=xl/sharedStrings.xml><?xml version="1.0" encoding="utf-8"?>
<sst xmlns="http://schemas.openxmlformats.org/spreadsheetml/2006/main" count="136" uniqueCount="54">
  <si>
    <t>Strategy details</t>
  </si>
  <si>
    <t>Iron Condor</t>
  </si>
  <si>
    <t>~ 0.15</t>
  </si>
  <si>
    <t>Calendar</t>
  </si>
  <si>
    <t>N/A</t>
  </si>
  <si>
    <t>Win / Loss / Open</t>
  </si>
  <si>
    <t>Trade type</t>
  </si>
  <si>
    <t>Open date</t>
  </si>
  <si>
    <t>Ticker</t>
  </si>
  <si>
    <t>Total net liquidation value</t>
  </si>
  <si>
    <t>Available # of trades</t>
  </si>
  <si>
    <t>Open price</t>
  </si>
  <si>
    <t>Expiration date</t>
  </si>
  <si>
    <t>Days to expiration</t>
  </si>
  <si>
    <t>VIX index</t>
  </si>
  <si>
    <t>Current IV percentile</t>
  </si>
  <si>
    <t>VTS Volatility Barometer</t>
  </si>
  <si>
    <t>Target Short Put Delta</t>
  </si>
  <si>
    <t>Target Short Call Delta</t>
  </si>
  <si>
    <t>Long Put strike</t>
  </si>
  <si>
    <t>Short Put strike</t>
  </si>
  <si>
    <t>Short Call strike</t>
  </si>
  <si>
    <t>Long Call strike</t>
  </si>
  <si>
    <t>Open premium</t>
  </si>
  <si>
    <t># of contracts</t>
  </si>
  <si>
    <t>Maximum loss</t>
  </si>
  <si>
    <t>Trade Allocaiton</t>
  </si>
  <si>
    <t>Strike gap</t>
  </si>
  <si>
    <t>Probability of profit</t>
  </si>
  <si>
    <t>Distance to Short Put strike</t>
  </si>
  <si>
    <t>Distance to Short Call strike</t>
  </si>
  <si>
    <t>Target stop-gain premium</t>
  </si>
  <si>
    <t>Target stop-gain $</t>
  </si>
  <si>
    <t>Target stop-loss premium</t>
  </si>
  <si>
    <t>Target stop-loss $</t>
  </si>
  <si>
    <t>Lower 4% movement threshold</t>
  </si>
  <si>
    <t>Higher 4% movement threshold</t>
  </si>
  <si>
    <t>Close date</t>
  </si>
  <si>
    <t>Close price</t>
  </si>
  <si>
    <t>Close premium</t>
  </si>
  <si>
    <t>Days open</t>
  </si>
  <si>
    <t>Trade fees  (TOS)</t>
  </si>
  <si>
    <t>Trade fees as % of maximum loss</t>
  </si>
  <si>
    <t>Trade profit $</t>
  </si>
  <si>
    <t>Return on capital %</t>
  </si>
  <si>
    <t>Return on portfolio %</t>
  </si>
  <si>
    <t>Notes</t>
  </si>
  <si>
    <t>SPY</t>
  </si>
  <si>
    <t>Open to Close price movement</t>
  </si>
  <si>
    <t>Return on strategy allocation %</t>
  </si>
  <si>
    <t>Example</t>
  </si>
  <si>
    <t>SPY</t>
    <phoneticPr fontId="9" type="noConversion"/>
  </si>
  <si>
    <t>Expiration date
(Near-month)</t>
    <phoneticPr fontId="9" type="noConversion"/>
  </si>
  <si>
    <t>Expiration date
(Distant-month)</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</si>
</sst>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 x14ac:knownFonts="1">
    <font>
      <sz val="12"/>
      <color theme="1"/>
      <name val="新細明體"/>
      <family val="2"/>
      <scheme val="minor"/>
    </font>
    <font>
      <sz val="12"/>
      <color theme="1"/>
      <name val="新細明體"/>
      <family val="2"/>
      <scheme val="minor"/>
    </font>
    <font>
      <sz val="12"/>
      <color theme="1"/>
      <name val="Calibri"/>
      <family val="2"/>
    </font>
    <font>
      <sz val="12"/>
      <color rgb="FFFF0000"/>
      <name val="Calibri"/>
      <family val="2"/>
    </font>
    <font>
      <sz val="12"/>
      <color rgb="FF000000"/>
      <name val="新細明體"/>
      <family val="2"/>
      <scheme val="minor"/>
    </font>
    <font>
      <b/>
      <sz val="10"/>
      <color rgb="FF000000"/>
      <name val="Tahoma"/>
      <family val="2"/>
    </font>
    <font>
      <sz val="10"/>
      <color rgb="FF000000"/>
      <name val="Tahoma"/>
      <family val="2"/>
    </font>
    <font>
      <b/>
      <sz val="10"/>
      <color rgb="FF000000"/>
      <name val="Tahoma"/>
      <family val="34"/>
    </font>
    <font>
      <sz val="10"/>
      <color rgb="FF000000"/>
      <name val="Tahoma"/>
      <family val="34"/>
    </font>
    <font>
      <sz val="9"/>
      <name val="新細明體"/>
      <family val="3"/>
      <charset val="136"/>
      <scheme val="minor"/>
    </font>
  </fonts>
  <fills count="9">
    <fill>
      <patternFill patternType="none"/>
    </fill>
    <fill>
      <patternFill patternType="gray125"/>
    </fill>
    <fill>
      <patternFill patternType="solid">
        <fgColor rgb="FFFFFEE8"/>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D9E1F2"/>
        <bgColor rgb="FF000000"/>
      </patternFill>
    </fill>
    <fill>
      <patternFill patternType="solid">
        <fgColor rgb="FF00FF00"/>
        <bgColor indexed="64"/>
      </patternFill>
    </fill>
    <fill>
      <patternFill patternType="solid">
        <fgColor theme="9" tint="0.79998168889431442"/>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2" borderId="1" xfId="0" applyFill="1" applyBorder="1" applyAlignment="1">
      <alignment horizontal="center"/>
    </xf>
    <xf numFmtId="0" fontId="2" fillId="0" borderId="0" xfId="0" applyFont="1"/>
    <xf numFmtId="1" fontId="2" fillId="0" borderId="0" xfId="1" applyNumberFormat="1" applyFont="1"/>
    <xf numFmtId="2" fontId="2" fillId="0" borderId="0" xfId="0" applyNumberFormat="1" applyFont="1"/>
    <xf numFmtId="1" fontId="2" fillId="3"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5"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1" fontId="2" fillId="4" borderId="1" xfId="1" applyNumberFormat="1" applyFont="1" applyFill="1" applyBorder="1" applyAlignment="1">
      <alignment horizontal="center" vertical="center" wrapText="1"/>
    </xf>
    <xf numFmtId="2" fontId="2" fillId="3" borderId="1" xfId="1" applyNumberFormat="1" applyFont="1" applyFill="1" applyBorder="1" applyAlignment="1">
      <alignment horizontal="center" vertical="center" wrapText="1"/>
    </xf>
    <xf numFmtId="9" fontId="2" fillId="3" borderId="1" xfId="1" applyFont="1" applyFill="1" applyBorder="1" applyAlignment="1">
      <alignment horizontal="center" vertical="center" wrapText="1"/>
    </xf>
    <xf numFmtId="10" fontId="2" fillId="3" borderId="1" xfId="1" applyNumberFormat="1" applyFont="1" applyFill="1" applyBorder="1" applyAlignment="1">
      <alignment horizontal="center" vertical="center" wrapText="1"/>
    </xf>
    <xf numFmtId="2" fontId="2" fillId="4" borderId="1" xfId="1"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10" fontId="2" fillId="4" borderId="1" xfId="1"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2" fontId="0" fillId="3" borderId="1" xfId="0" applyNumberFormat="1" applyFill="1" applyBorder="1" applyAlignment="1">
      <alignment horizontal="center" vertical="center" wrapText="1"/>
    </xf>
    <xf numFmtId="0" fontId="4" fillId="5" borderId="1" xfId="0" applyFont="1" applyFill="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wrapText="1"/>
    </xf>
    <xf numFmtId="1" fontId="2" fillId="6" borderId="1" xfId="0" applyNumberFormat="1" applyFont="1" applyFill="1" applyBorder="1" applyAlignment="1">
      <alignment horizontal="center" vertical="center" wrapText="1"/>
    </xf>
    <xf numFmtId="10" fontId="2" fillId="7" borderId="1" xfId="1"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76" fontId="2" fillId="3" borderId="1" xfId="1"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cellXfs>
  <cellStyles count="2">
    <cellStyle name="一般" xfId="0" builtinId="0"/>
    <cellStyle name="百分比" xfId="1"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A0E2-D044-4151-AAE4-A85A59CA4753}">
  <sheetPr>
    <tabColor rgb="FFFFFF00"/>
  </sheetPr>
  <dimension ref="A2:AT33"/>
  <sheetViews>
    <sheetView tabSelected="1" workbookViewId="0">
      <pane ySplit="7" topLeftCell="A8" activePane="bottomLeft" state="frozen"/>
      <selection pane="bottomLeft" activeCell="A11" sqref="A11"/>
    </sheetView>
  </sheetViews>
  <sheetFormatPr defaultColWidth="10.796875" defaultRowHeight="15.75" x14ac:dyDescent="0.5"/>
  <cols>
    <col min="1" max="5" width="20.796875" style="2" customWidth="1"/>
    <col min="6" max="6" width="20.796875" style="3" customWidth="1"/>
    <col min="7" max="7" width="20.796875" style="2" customWidth="1"/>
    <col min="8" max="8" width="22.73046875" style="2" bestFit="1" customWidth="1"/>
    <col min="9" max="9" width="22.73046875" style="2" customWidth="1"/>
    <col min="10" max="10" width="20.796875" style="2" customWidth="1"/>
    <col min="11" max="11" width="20.796875" style="4" customWidth="1"/>
    <col min="12" max="13" width="20.796875" style="2" customWidth="1"/>
    <col min="14" max="15" width="20.796875" style="4" customWidth="1"/>
    <col min="16" max="45" width="20.796875" style="2" customWidth="1"/>
    <col min="46" max="46" width="166.6640625" style="2" customWidth="1"/>
    <col min="47" max="140" width="20.796875" style="2" customWidth="1"/>
    <col min="141" max="16384" width="10.796875" style="2"/>
  </cols>
  <sheetData>
    <row r="2" spans="1:46" ht="17" customHeight="1" x14ac:dyDescent="0.5">
      <c r="A2" s="1" t="s">
        <v>0</v>
      </c>
    </row>
    <row r="3" spans="1:46" ht="17" customHeight="1" x14ac:dyDescent="0.5"/>
    <row r="4" spans="1:46" ht="17" customHeight="1" x14ac:dyDescent="0.5">
      <c r="A4" s="5"/>
      <c r="B4" s="6" t="s">
        <v>1</v>
      </c>
      <c r="C4" s="7"/>
      <c r="D4" s="8"/>
      <c r="E4" s="9"/>
      <c r="F4" s="10">
        <v>3</v>
      </c>
      <c r="G4" s="9"/>
      <c r="H4" s="7"/>
      <c r="I4" s="7"/>
      <c r="J4" s="5"/>
      <c r="K4" s="11"/>
      <c r="L4" s="12"/>
      <c r="M4" s="13"/>
      <c r="N4" s="14" t="s">
        <v>2</v>
      </c>
      <c r="O4" s="14" t="s">
        <v>2</v>
      </c>
      <c r="P4" s="9"/>
      <c r="Q4" s="9"/>
      <c r="R4" s="9"/>
      <c r="S4" s="9"/>
      <c r="T4" s="9"/>
      <c r="U4" s="5"/>
      <c r="V4" s="15">
        <f>((S4-R4)-T4)*(U4*100)</f>
        <v>0</v>
      </c>
      <c r="W4" s="15">
        <f>E4*0.03</f>
        <v>0</v>
      </c>
      <c r="X4" s="15">
        <f>(S4-R4)</f>
        <v>0</v>
      </c>
      <c r="Y4" s="16" t="e">
        <f>(X4-T4)/X4</f>
        <v>#DIV/0!</v>
      </c>
      <c r="Z4" s="16" t="e">
        <f>(Q4-G4)/G4</f>
        <v>#DIV/0!</v>
      </c>
      <c r="AA4" s="16" t="e">
        <f>(R4-G4)/G4</f>
        <v>#DIV/0!</v>
      </c>
      <c r="AB4" s="15">
        <f>T4*0.5</f>
        <v>0</v>
      </c>
      <c r="AC4" s="15">
        <f>(T4*0.5)*(U4*100)</f>
        <v>0</v>
      </c>
      <c r="AD4" s="17">
        <f>T4*1.5</f>
        <v>0</v>
      </c>
      <c r="AE4" s="17">
        <f>-((T4/2)*(U4*100))</f>
        <v>0</v>
      </c>
      <c r="AF4" s="15">
        <f>G4*0.96</f>
        <v>0</v>
      </c>
      <c r="AG4" s="15">
        <f>G4*1.04</f>
        <v>0</v>
      </c>
      <c r="AH4" s="18"/>
      <c r="AI4" s="7"/>
      <c r="AJ4" s="9"/>
      <c r="AK4" s="16" t="e">
        <f>(AJ4-G4)/G4</f>
        <v>#DIV/0!</v>
      </c>
      <c r="AL4" s="9"/>
      <c r="AM4" s="6">
        <f>AI4-C4</f>
        <v>0</v>
      </c>
      <c r="AN4" s="15">
        <f>((U4*4)*2)*0.65</f>
        <v>0</v>
      </c>
      <c r="AO4" s="16" t="e">
        <f>AN4/V4</f>
        <v>#DIV/0!</v>
      </c>
      <c r="AP4" s="15">
        <f>((T4-AL4)*(U4*100))-AN4</f>
        <v>0</v>
      </c>
      <c r="AQ4" s="16" t="e">
        <f>AP4/V4</f>
        <v>#DIV/0!</v>
      </c>
      <c r="AR4" s="26" t="e">
        <f>AP4/(E4*0.2)</f>
        <v>#DIV/0!</v>
      </c>
      <c r="AS4" s="16" t="e">
        <f>AP4/E4</f>
        <v>#DIV/0!</v>
      </c>
      <c r="AT4" s="8"/>
    </row>
    <row r="5" spans="1:46" ht="17" customHeight="1" x14ac:dyDescent="0.5">
      <c r="A5" s="5"/>
      <c r="B5" s="6" t="s">
        <v>3</v>
      </c>
      <c r="C5" s="7"/>
      <c r="D5" s="8"/>
      <c r="E5" s="9"/>
      <c r="F5" s="10">
        <v>3</v>
      </c>
      <c r="G5" s="9"/>
      <c r="H5" s="7"/>
      <c r="I5" s="7"/>
      <c r="J5" s="5"/>
      <c r="K5" s="11"/>
      <c r="L5" s="12"/>
      <c r="M5" s="13"/>
      <c r="N5" s="14" t="s">
        <v>4</v>
      </c>
      <c r="O5" s="14" t="s">
        <v>4</v>
      </c>
      <c r="P5" s="9"/>
      <c r="Q5" s="9"/>
      <c r="R5" s="15" t="s">
        <v>4</v>
      </c>
      <c r="S5" s="15" t="s">
        <v>4</v>
      </c>
      <c r="T5" s="9"/>
      <c r="U5" s="5"/>
      <c r="V5" s="15">
        <f>T5*(U5*100)</f>
        <v>0</v>
      </c>
      <c r="W5" s="15">
        <f>E5*0.02</f>
        <v>0</v>
      </c>
      <c r="X5" s="15" t="s">
        <v>4</v>
      </c>
      <c r="Y5" s="16" t="s">
        <v>4</v>
      </c>
      <c r="Z5" s="16" t="e">
        <f>(G5-Q5)/G5</f>
        <v>#DIV/0!</v>
      </c>
      <c r="AA5" s="16" t="s">
        <v>4</v>
      </c>
      <c r="AB5" s="15">
        <f>T5*1.25</f>
        <v>0</v>
      </c>
      <c r="AC5" s="15">
        <f>(T5*0.25)*(U5*100)</f>
        <v>0</v>
      </c>
      <c r="AD5" s="17">
        <f>T5*0.75</f>
        <v>0</v>
      </c>
      <c r="AE5" s="17">
        <f>-((T5*0.25)*(U5*100))</f>
        <v>0</v>
      </c>
      <c r="AF5" s="15">
        <f>G5*0.96</f>
        <v>0</v>
      </c>
      <c r="AG5" s="15">
        <f>G5*1.04</f>
        <v>0</v>
      </c>
      <c r="AH5" s="18"/>
      <c r="AI5" s="7"/>
      <c r="AJ5" s="9"/>
      <c r="AK5" s="16" t="e">
        <f>(AJ5-G5)/G5</f>
        <v>#DIV/0!</v>
      </c>
      <c r="AL5" s="9"/>
      <c r="AM5" s="6">
        <f>AI5-C5</f>
        <v>0</v>
      </c>
      <c r="AN5" s="15">
        <f>((U5*2)*2)*0.65</f>
        <v>0</v>
      </c>
      <c r="AO5" s="16" t="e">
        <f>AN5/V5</f>
        <v>#DIV/0!</v>
      </c>
      <c r="AP5" s="15">
        <f>((AL5-T5)*(U5*100))-AN5</f>
        <v>0</v>
      </c>
      <c r="AQ5" s="16" t="e">
        <f>AP5/V5</f>
        <v>#DIV/0!</v>
      </c>
      <c r="AR5" s="26" t="e">
        <f>AP5/(E5*0.2)</f>
        <v>#DIV/0!</v>
      </c>
      <c r="AS5" s="16" t="e">
        <f>AP5/E5</f>
        <v>#DIV/0!</v>
      </c>
      <c r="AT5" s="8"/>
    </row>
    <row r="6" spans="1:46" ht="17" customHeight="1" x14ac:dyDescent="0.5"/>
    <row r="7" spans="1:46" ht="50" customHeight="1" x14ac:dyDescent="0.5">
      <c r="A7" s="19" t="s">
        <v>5</v>
      </c>
      <c r="B7" s="20" t="s">
        <v>6</v>
      </c>
      <c r="C7" s="19" t="s">
        <v>7</v>
      </c>
      <c r="D7" s="19" t="s">
        <v>8</v>
      </c>
      <c r="E7" s="19" t="s">
        <v>9</v>
      </c>
      <c r="F7" s="20" t="s">
        <v>10</v>
      </c>
      <c r="G7" s="19" t="s">
        <v>11</v>
      </c>
      <c r="H7" s="19" t="s">
        <v>52</v>
      </c>
      <c r="I7" s="19" t="s">
        <v>53</v>
      </c>
      <c r="J7" s="19" t="s">
        <v>13</v>
      </c>
      <c r="K7" s="21" t="s">
        <v>14</v>
      </c>
      <c r="L7" s="12" t="s">
        <v>15</v>
      </c>
      <c r="M7" s="21" t="s">
        <v>16</v>
      </c>
      <c r="N7" s="15" t="s">
        <v>17</v>
      </c>
      <c r="O7" s="15" t="s">
        <v>18</v>
      </c>
      <c r="P7" s="8" t="s">
        <v>19</v>
      </c>
      <c r="Q7" s="22" t="s">
        <v>20</v>
      </c>
      <c r="R7" s="8" t="s">
        <v>21</v>
      </c>
      <c r="S7" s="8" t="s">
        <v>22</v>
      </c>
      <c r="T7" s="19" t="s">
        <v>23</v>
      </c>
      <c r="U7" s="19" t="s">
        <v>24</v>
      </c>
      <c r="V7" s="20" t="s">
        <v>25</v>
      </c>
      <c r="W7" s="20" t="s">
        <v>26</v>
      </c>
      <c r="X7" s="23" t="s">
        <v>27</v>
      </c>
      <c r="Y7" s="24" t="s">
        <v>28</v>
      </c>
      <c r="Z7" s="24" t="s">
        <v>29</v>
      </c>
      <c r="AA7" s="24" t="s">
        <v>30</v>
      </c>
      <c r="AB7" s="20" t="s">
        <v>31</v>
      </c>
      <c r="AC7" s="20" t="s">
        <v>32</v>
      </c>
      <c r="AD7" s="20" t="s">
        <v>33</v>
      </c>
      <c r="AE7" s="20" t="s">
        <v>34</v>
      </c>
      <c r="AF7" s="24" t="s">
        <v>35</v>
      </c>
      <c r="AG7" s="24" t="s">
        <v>36</v>
      </c>
      <c r="AH7" s="18"/>
      <c r="AI7" s="8" t="s">
        <v>37</v>
      </c>
      <c r="AJ7" s="8" t="s">
        <v>38</v>
      </c>
      <c r="AK7" s="24" t="s">
        <v>48</v>
      </c>
      <c r="AL7" s="8" t="s">
        <v>39</v>
      </c>
      <c r="AM7" s="24" t="s">
        <v>40</v>
      </c>
      <c r="AN7" s="24" t="s">
        <v>41</v>
      </c>
      <c r="AO7" s="24" t="s">
        <v>42</v>
      </c>
      <c r="AP7" s="24" t="s">
        <v>43</v>
      </c>
      <c r="AQ7" s="24" t="s">
        <v>44</v>
      </c>
      <c r="AR7" s="27" t="s">
        <v>49</v>
      </c>
      <c r="AS7" s="24" t="s">
        <v>45</v>
      </c>
      <c r="AT7" s="8" t="s">
        <v>46</v>
      </c>
    </row>
    <row r="8" spans="1:46" ht="17" customHeight="1" x14ac:dyDescent="0.5"/>
    <row r="9" spans="1:46" ht="17" customHeight="1" x14ac:dyDescent="0.5">
      <c r="A9" s="29"/>
      <c r="B9" s="6" t="s">
        <v>3</v>
      </c>
      <c r="C9" s="7">
        <v>46261</v>
      </c>
      <c r="D9" s="8" t="s">
        <v>51</v>
      </c>
      <c r="E9" s="9">
        <v>1150566.8</v>
      </c>
      <c r="F9" s="10">
        <v>3</v>
      </c>
      <c r="G9" s="9">
        <v>770.33</v>
      </c>
      <c r="H9" s="7">
        <v>46283</v>
      </c>
      <c r="I9" s="7">
        <v>46311</v>
      </c>
      <c r="J9" s="5">
        <v>22</v>
      </c>
      <c r="K9" s="11">
        <v>14.51</v>
      </c>
      <c r="L9" s="28">
        <v>0.05</v>
      </c>
      <c r="M9" s="13">
        <v>0.14399999999999999</v>
      </c>
      <c r="N9" s="14" t="s">
        <v>4</v>
      </c>
      <c r="O9" s="14" t="s">
        <v>4</v>
      </c>
      <c r="P9" s="9">
        <v>770</v>
      </c>
      <c r="Q9" s="9">
        <v>770</v>
      </c>
      <c r="R9" s="15" t="s">
        <v>4</v>
      </c>
      <c r="S9" s="15" t="s">
        <v>4</v>
      </c>
      <c r="T9" s="9">
        <v>4.9400000000000004</v>
      </c>
      <c r="U9" s="5">
        <v>46</v>
      </c>
      <c r="V9" s="15">
        <f>T9*(U9*100)</f>
        <v>22724</v>
      </c>
      <c r="W9" s="15">
        <f>E9*0.02</f>
        <v>23011.336000000003</v>
      </c>
      <c r="X9" s="15" t="s">
        <v>4</v>
      </c>
      <c r="Y9" s="16" t="s">
        <v>4</v>
      </c>
      <c r="Z9" s="16">
        <f>(G9-Q9)/G9</f>
        <v>4.2838783378557359E-4</v>
      </c>
      <c r="AA9" s="16" t="s">
        <v>4</v>
      </c>
      <c r="AB9" s="15">
        <f>T9*1.25</f>
        <v>6.1750000000000007</v>
      </c>
      <c r="AC9" s="15">
        <f>(T9*0.25)*(U9*100)</f>
        <v>5681</v>
      </c>
      <c r="AD9" s="17">
        <f>T9*0.75</f>
        <v>3.7050000000000001</v>
      </c>
      <c r="AE9" s="17">
        <f>-((T9*0.25)*(U9*100))</f>
        <v>-5681</v>
      </c>
      <c r="AF9" s="15">
        <f>G9*0.96</f>
        <v>739.51679999999999</v>
      </c>
      <c r="AG9" s="15">
        <f>G9*1.04</f>
        <v>801.14320000000009</v>
      </c>
      <c r="AH9" s="18"/>
      <c r="AI9" s="7">
        <v>46281</v>
      </c>
      <c r="AJ9" s="9">
        <v>754.05</v>
      </c>
      <c r="AK9" s="16">
        <f>(AJ9-G9)/G9</f>
        <v>-2.1133799800085788E-2</v>
      </c>
      <c r="AL9" s="9">
        <v>3.8</v>
      </c>
      <c r="AM9" s="6">
        <f>AI9-C9</f>
        <v>20</v>
      </c>
      <c r="AN9" s="15">
        <f>((U9*2)*2)*0.65</f>
        <v>119.60000000000001</v>
      </c>
      <c r="AO9" s="16">
        <f>AN9/V9</f>
        <v>5.2631578947368429E-3</v>
      </c>
      <c r="AP9" s="15">
        <f>((AL9-T9)*(U9*100))-AN9</f>
        <v>-5363.6000000000031</v>
      </c>
      <c r="AQ9" s="16">
        <f>AP9/V9</f>
        <v>-0.23603238866396775</v>
      </c>
      <c r="AR9" s="26">
        <f>AP9/(E9*0.2)</f>
        <v>-2.3308511943852382E-2</v>
      </c>
      <c r="AS9" s="16">
        <f>AP9/E9</f>
        <v>-4.6617023887704761E-3</v>
      </c>
      <c r="AT9" s="8"/>
    </row>
    <row r="10" spans="1:46" ht="17" customHeight="1" x14ac:dyDescent="0.5">
      <c r="A10" s="25"/>
      <c r="B10" s="6" t="s">
        <v>3</v>
      </c>
      <c r="C10" s="7">
        <v>46295</v>
      </c>
      <c r="D10" s="8" t="s">
        <v>51</v>
      </c>
      <c r="E10" s="9">
        <v>1146721</v>
      </c>
      <c r="F10" s="10">
        <v>3</v>
      </c>
      <c r="G10" s="9">
        <v>768.03</v>
      </c>
      <c r="H10" s="7">
        <v>46346</v>
      </c>
      <c r="I10" s="7">
        <v>46374</v>
      </c>
      <c r="J10" s="5">
        <v>51</v>
      </c>
      <c r="K10" s="11">
        <v>15.77</v>
      </c>
      <c r="L10" s="12">
        <v>0.28000000000000003</v>
      </c>
      <c r="M10" s="13">
        <v>0.37559999999999999</v>
      </c>
      <c r="N10" s="14" t="s">
        <v>4</v>
      </c>
      <c r="O10" s="14" t="s">
        <v>4</v>
      </c>
      <c r="P10" s="9">
        <v>768</v>
      </c>
      <c r="Q10" s="9">
        <v>768</v>
      </c>
      <c r="R10" s="15" t="s">
        <v>4</v>
      </c>
      <c r="S10" s="15" t="s">
        <v>4</v>
      </c>
      <c r="T10" s="9">
        <v>3.78</v>
      </c>
      <c r="U10" s="5">
        <v>60</v>
      </c>
      <c r="V10" s="15">
        <f>T10*(U10*100)</f>
        <v>22680</v>
      </c>
      <c r="W10" s="15">
        <f>E10*0.02</f>
        <v>22934.420000000002</v>
      </c>
      <c r="X10" s="15" t="s">
        <v>4</v>
      </c>
      <c r="Y10" s="16" t="s">
        <v>4</v>
      </c>
      <c r="Z10" s="16">
        <f>(G10-Q10)/G10</f>
        <v>3.906097418066054E-5</v>
      </c>
      <c r="AA10" s="16" t="s">
        <v>4</v>
      </c>
      <c r="AB10" s="15">
        <f>T10*1.25</f>
        <v>4.7249999999999996</v>
      </c>
      <c r="AC10" s="15">
        <f>(T10*0.25)*(U10*100)</f>
        <v>5670</v>
      </c>
      <c r="AD10" s="17">
        <f>T10*0.75</f>
        <v>2.835</v>
      </c>
      <c r="AE10" s="17">
        <f>-((T10*0.25)*(U10*100))</f>
        <v>-5670</v>
      </c>
      <c r="AF10" s="15">
        <f>G10*0.96</f>
        <v>737.30879999999991</v>
      </c>
      <c r="AG10" s="15">
        <f>G10*1.04</f>
        <v>798.75120000000004</v>
      </c>
      <c r="AH10" s="18"/>
      <c r="AI10" s="7">
        <v>46322</v>
      </c>
      <c r="AJ10" s="9">
        <v>767.46</v>
      </c>
      <c r="AK10" s="16">
        <f>(AJ10-G10)/G10</f>
        <v>-7.421585094331424E-4</v>
      </c>
      <c r="AL10" s="9">
        <v>4.95</v>
      </c>
      <c r="AM10" s="6">
        <f>AI10-C10</f>
        <v>27</v>
      </c>
      <c r="AN10" s="15">
        <f>((U10*2)*2)*0.65</f>
        <v>156</v>
      </c>
      <c r="AO10" s="16">
        <f>AN10/V10</f>
        <v>6.8783068783068784E-3</v>
      </c>
      <c r="AP10" s="15">
        <f>((AL10-T10)*(U10*100))-AN10</f>
        <v>6864.0000000000018</v>
      </c>
      <c r="AQ10" s="16">
        <f>AP10/V10</f>
        <v>0.30264550264550272</v>
      </c>
      <c r="AR10" s="26">
        <f>AP10/(E10*0.2)</f>
        <v>2.9928814419549313E-2</v>
      </c>
      <c r="AS10" s="16">
        <f>AP10/E10</f>
        <v>5.9857628839098632E-3</v>
      </c>
      <c r="AT10" s="8"/>
    </row>
    <row r="11" spans="1:46" ht="17" customHeight="1" x14ac:dyDescent="0.5">
      <c r="A11" s="5"/>
      <c r="B11" s="6"/>
      <c r="C11" s="7"/>
      <c r="D11" s="8"/>
      <c r="E11" s="9"/>
      <c r="F11" s="10"/>
      <c r="G11" s="9"/>
      <c r="H11" s="7"/>
      <c r="I11" s="7"/>
      <c r="J11" s="5"/>
      <c r="K11" s="11"/>
      <c r="L11" s="12"/>
      <c r="M11" s="13"/>
      <c r="N11" s="14"/>
      <c r="O11" s="14"/>
      <c r="P11" s="9"/>
      <c r="Q11" s="9"/>
      <c r="R11" s="9"/>
      <c r="S11" s="9"/>
      <c r="T11" s="9"/>
      <c r="U11" s="5"/>
      <c r="V11" s="15"/>
      <c r="W11" s="15"/>
      <c r="X11" s="15"/>
      <c r="Y11" s="16"/>
      <c r="Z11" s="16"/>
      <c r="AA11" s="16"/>
      <c r="AB11" s="15"/>
      <c r="AC11" s="15"/>
      <c r="AD11" s="17"/>
      <c r="AE11" s="17"/>
      <c r="AF11" s="15"/>
      <c r="AG11" s="15"/>
      <c r="AH11" s="18"/>
      <c r="AI11" s="7"/>
      <c r="AJ11" s="9"/>
      <c r="AK11" s="15"/>
      <c r="AL11" s="9"/>
      <c r="AM11" s="6"/>
      <c r="AN11" s="15"/>
      <c r="AO11" s="16"/>
      <c r="AP11" s="15"/>
      <c r="AQ11" s="16"/>
      <c r="AR11" s="26"/>
      <c r="AS11" s="16"/>
      <c r="AT11" s="8"/>
    </row>
    <row r="12" spans="1:46" ht="17" customHeight="1" x14ac:dyDescent="0.5">
      <c r="A12" s="5"/>
      <c r="B12" s="6"/>
      <c r="C12" s="7"/>
      <c r="D12" s="8"/>
      <c r="E12" s="9"/>
      <c r="F12" s="10"/>
      <c r="G12" s="9"/>
      <c r="H12" s="7"/>
      <c r="I12" s="7"/>
      <c r="J12" s="5"/>
      <c r="K12" s="11"/>
      <c r="L12" s="12"/>
      <c r="M12" s="13"/>
      <c r="N12" s="14"/>
      <c r="O12" s="14"/>
      <c r="P12" s="9"/>
      <c r="Q12" s="9"/>
      <c r="R12" s="9"/>
      <c r="S12" s="9"/>
      <c r="T12" s="9"/>
      <c r="U12" s="5"/>
      <c r="V12" s="15"/>
      <c r="W12" s="15"/>
      <c r="X12" s="15"/>
      <c r="Y12" s="16"/>
      <c r="Z12" s="16"/>
      <c r="AA12" s="16"/>
      <c r="AB12" s="15"/>
      <c r="AC12" s="15"/>
      <c r="AD12" s="17"/>
      <c r="AE12" s="17"/>
      <c r="AF12" s="15"/>
      <c r="AG12" s="15"/>
      <c r="AH12" s="18"/>
      <c r="AI12" s="7"/>
      <c r="AJ12" s="9"/>
      <c r="AK12" s="15"/>
      <c r="AL12" s="9"/>
      <c r="AM12" s="6"/>
      <c r="AN12" s="15"/>
      <c r="AO12" s="16"/>
      <c r="AP12" s="15"/>
      <c r="AQ12" s="16"/>
      <c r="AR12" s="26"/>
      <c r="AS12" s="16"/>
      <c r="AT12" s="8"/>
    </row>
    <row r="13" spans="1:46" ht="17" customHeight="1" x14ac:dyDescent="0.5">
      <c r="A13" s="5"/>
      <c r="B13" s="6"/>
      <c r="C13" s="7"/>
      <c r="D13" s="8"/>
      <c r="E13" s="9"/>
      <c r="F13" s="10"/>
      <c r="G13" s="9"/>
      <c r="H13" s="7"/>
      <c r="I13" s="7"/>
      <c r="J13" s="5"/>
      <c r="K13" s="11"/>
      <c r="L13" s="12"/>
      <c r="M13" s="13"/>
      <c r="N13" s="14"/>
      <c r="O13" s="14"/>
      <c r="P13" s="9"/>
      <c r="Q13" s="9"/>
      <c r="R13" s="9"/>
      <c r="S13" s="9"/>
      <c r="T13" s="9"/>
      <c r="U13" s="5"/>
      <c r="V13" s="15"/>
      <c r="W13" s="15"/>
      <c r="X13" s="15"/>
      <c r="Y13" s="16"/>
      <c r="Z13" s="16"/>
      <c r="AA13" s="16"/>
      <c r="AB13" s="15"/>
      <c r="AC13" s="15"/>
      <c r="AD13" s="17"/>
      <c r="AE13" s="17"/>
      <c r="AF13" s="15"/>
      <c r="AG13" s="15"/>
      <c r="AH13" s="18"/>
      <c r="AI13" s="7"/>
      <c r="AJ13" s="9"/>
      <c r="AK13" s="15"/>
      <c r="AL13" s="9"/>
      <c r="AM13" s="6"/>
      <c r="AN13" s="15"/>
      <c r="AO13" s="16"/>
      <c r="AP13" s="15"/>
      <c r="AQ13" s="16"/>
      <c r="AR13" s="26"/>
      <c r="AS13" s="16"/>
      <c r="AT13" s="8"/>
    </row>
    <row r="14" spans="1:46" ht="17" customHeight="1" x14ac:dyDescent="0.5">
      <c r="A14" s="5"/>
      <c r="B14" s="6"/>
      <c r="C14" s="7"/>
      <c r="D14" s="8"/>
      <c r="E14" s="9"/>
      <c r="F14" s="10"/>
      <c r="G14" s="9"/>
      <c r="H14" s="7"/>
      <c r="I14" s="7"/>
      <c r="J14" s="5"/>
      <c r="K14" s="11"/>
      <c r="L14" s="12"/>
      <c r="M14" s="13"/>
      <c r="N14" s="14"/>
      <c r="O14" s="14"/>
      <c r="P14" s="9"/>
      <c r="Q14" s="9"/>
      <c r="R14" s="9"/>
      <c r="S14" s="9"/>
      <c r="T14" s="9"/>
      <c r="U14" s="5"/>
      <c r="V14" s="15"/>
      <c r="W14" s="15"/>
      <c r="X14" s="15"/>
      <c r="Y14" s="16"/>
      <c r="Z14" s="16"/>
      <c r="AA14" s="16"/>
      <c r="AB14" s="15"/>
      <c r="AC14" s="15"/>
      <c r="AD14" s="17"/>
      <c r="AE14" s="17"/>
      <c r="AF14" s="15"/>
      <c r="AG14" s="15"/>
      <c r="AH14" s="18"/>
      <c r="AI14" s="7"/>
      <c r="AJ14" s="9"/>
      <c r="AK14" s="15"/>
      <c r="AL14" s="9"/>
      <c r="AM14" s="6"/>
      <c r="AN14" s="15"/>
      <c r="AO14" s="16"/>
      <c r="AP14" s="15"/>
      <c r="AQ14" s="16"/>
      <c r="AR14" s="26"/>
      <c r="AS14" s="16"/>
      <c r="AT14" s="8"/>
    </row>
    <row r="15" spans="1:46" ht="17" customHeight="1" x14ac:dyDescent="0.5">
      <c r="A15" s="5"/>
      <c r="B15" s="6"/>
      <c r="C15" s="7"/>
      <c r="D15" s="8"/>
      <c r="E15" s="9"/>
      <c r="F15" s="10"/>
      <c r="G15" s="9"/>
      <c r="H15" s="7"/>
      <c r="I15" s="7"/>
      <c r="J15" s="5"/>
      <c r="K15" s="11"/>
      <c r="L15" s="12"/>
      <c r="M15" s="13"/>
      <c r="N15" s="14"/>
      <c r="O15" s="14"/>
      <c r="P15" s="9"/>
      <c r="Q15" s="9"/>
      <c r="R15" s="9"/>
      <c r="S15" s="9"/>
      <c r="T15" s="9"/>
      <c r="U15" s="5"/>
      <c r="V15" s="15"/>
      <c r="W15" s="15"/>
      <c r="X15" s="15"/>
      <c r="Y15" s="16"/>
      <c r="Z15" s="16"/>
      <c r="AA15" s="16"/>
      <c r="AB15" s="15"/>
      <c r="AC15" s="15"/>
      <c r="AD15" s="17"/>
      <c r="AE15" s="17"/>
      <c r="AF15" s="15"/>
      <c r="AG15" s="15"/>
      <c r="AH15" s="18"/>
      <c r="AI15" s="7"/>
      <c r="AJ15" s="9"/>
      <c r="AK15" s="15"/>
      <c r="AL15" s="9"/>
      <c r="AM15" s="6"/>
      <c r="AN15" s="15"/>
      <c r="AO15" s="16"/>
      <c r="AP15" s="15"/>
      <c r="AQ15" s="16"/>
      <c r="AR15" s="26"/>
      <c r="AS15" s="16"/>
      <c r="AT15" s="8"/>
    </row>
    <row r="16" spans="1:46" ht="17" customHeight="1" x14ac:dyDescent="0.5">
      <c r="A16" s="5"/>
      <c r="B16" s="6"/>
      <c r="C16" s="7"/>
      <c r="D16" s="8"/>
      <c r="E16" s="9"/>
      <c r="F16" s="10"/>
      <c r="G16" s="9"/>
      <c r="H16" s="7"/>
      <c r="I16" s="7"/>
      <c r="J16" s="5"/>
      <c r="K16" s="11"/>
      <c r="L16" s="12"/>
      <c r="M16" s="13"/>
      <c r="N16" s="14"/>
      <c r="O16" s="14"/>
      <c r="P16" s="9"/>
      <c r="Q16" s="9"/>
      <c r="R16" s="9"/>
      <c r="S16" s="9"/>
      <c r="T16" s="9"/>
      <c r="U16" s="5"/>
      <c r="V16" s="15"/>
      <c r="W16" s="15"/>
      <c r="X16" s="15"/>
      <c r="Y16" s="16"/>
      <c r="Z16" s="16"/>
      <c r="AA16" s="16"/>
      <c r="AB16" s="15"/>
      <c r="AC16" s="15"/>
      <c r="AD16" s="17"/>
      <c r="AE16" s="17"/>
      <c r="AF16" s="15"/>
      <c r="AG16" s="15"/>
      <c r="AH16" s="18"/>
      <c r="AI16" s="7"/>
      <c r="AJ16" s="9"/>
      <c r="AK16" s="15"/>
      <c r="AL16" s="9"/>
      <c r="AM16" s="6"/>
      <c r="AN16" s="15"/>
      <c r="AO16" s="16"/>
      <c r="AP16" s="15"/>
      <c r="AQ16" s="16"/>
      <c r="AR16" s="26"/>
      <c r="AS16" s="16"/>
      <c r="AT16" s="8"/>
    </row>
    <row r="17" spans="1:46" ht="17" customHeight="1" x14ac:dyDescent="0.5">
      <c r="A17" s="5"/>
      <c r="B17" s="6"/>
      <c r="C17" s="7"/>
      <c r="D17" s="8"/>
      <c r="E17" s="9"/>
      <c r="F17" s="10"/>
      <c r="G17" s="9"/>
      <c r="H17" s="7"/>
      <c r="I17" s="7"/>
      <c r="J17" s="5"/>
      <c r="K17" s="11"/>
      <c r="L17" s="12"/>
      <c r="M17" s="13"/>
      <c r="N17" s="14"/>
      <c r="O17" s="14"/>
      <c r="P17" s="9"/>
      <c r="Q17" s="9"/>
      <c r="R17" s="9"/>
      <c r="S17" s="9"/>
      <c r="T17" s="9"/>
      <c r="U17" s="5"/>
      <c r="V17" s="15"/>
      <c r="W17" s="15"/>
      <c r="X17" s="15"/>
      <c r="Y17" s="16"/>
      <c r="Z17" s="16"/>
      <c r="AA17" s="16"/>
      <c r="AB17" s="15"/>
      <c r="AC17" s="15"/>
      <c r="AD17" s="17"/>
      <c r="AE17" s="17"/>
      <c r="AF17" s="15"/>
      <c r="AG17" s="15"/>
      <c r="AH17" s="18"/>
      <c r="AI17" s="7"/>
      <c r="AJ17" s="9"/>
      <c r="AK17" s="15"/>
      <c r="AL17" s="9"/>
      <c r="AM17" s="6"/>
      <c r="AN17" s="15"/>
      <c r="AO17" s="16"/>
      <c r="AP17" s="15"/>
      <c r="AQ17" s="16"/>
      <c r="AR17" s="26"/>
      <c r="AS17" s="16"/>
      <c r="AT17" s="8"/>
    </row>
    <row r="18" spans="1:46" ht="17" customHeight="1" x14ac:dyDescent="0.5">
      <c r="A18" s="5"/>
      <c r="B18" s="6"/>
      <c r="C18" s="7"/>
      <c r="D18" s="8"/>
      <c r="E18" s="9"/>
      <c r="F18" s="10"/>
      <c r="G18" s="9"/>
      <c r="H18" s="7"/>
      <c r="I18" s="7"/>
      <c r="J18" s="5"/>
      <c r="K18" s="11"/>
      <c r="L18" s="12"/>
      <c r="M18" s="13"/>
      <c r="N18" s="14"/>
      <c r="O18" s="14"/>
      <c r="P18" s="9"/>
      <c r="Q18" s="9"/>
      <c r="R18" s="9"/>
      <c r="S18" s="9"/>
      <c r="T18" s="9"/>
      <c r="U18" s="5"/>
      <c r="V18" s="15"/>
      <c r="W18" s="15"/>
      <c r="X18" s="15"/>
      <c r="Y18" s="16"/>
      <c r="Z18" s="16"/>
      <c r="AA18" s="16"/>
      <c r="AB18" s="15"/>
      <c r="AC18" s="15"/>
      <c r="AD18" s="17"/>
      <c r="AE18" s="17"/>
      <c r="AF18" s="15"/>
      <c r="AG18" s="15"/>
      <c r="AH18" s="18"/>
      <c r="AI18" s="7"/>
      <c r="AJ18" s="9"/>
      <c r="AK18" s="15"/>
      <c r="AL18" s="9"/>
      <c r="AM18" s="6"/>
      <c r="AN18" s="15"/>
      <c r="AO18" s="16"/>
      <c r="AP18" s="15"/>
      <c r="AQ18" s="16"/>
      <c r="AR18" s="26"/>
      <c r="AS18" s="16"/>
      <c r="AT18" s="8"/>
    </row>
    <row r="19" spans="1:46" ht="17" customHeight="1" x14ac:dyDescent="0.5">
      <c r="A19" s="5"/>
      <c r="B19" s="6"/>
      <c r="C19" s="7"/>
      <c r="D19" s="8"/>
      <c r="E19" s="9"/>
      <c r="F19" s="10"/>
      <c r="G19" s="9"/>
      <c r="H19" s="7"/>
      <c r="I19" s="7"/>
      <c r="J19" s="5"/>
      <c r="K19" s="11"/>
      <c r="L19" s="12"/>
      <c r="M19" s="13"/>
      <c r="N19" s="14"/>
      <c r="O19" s="14"/>
      <c r="P19" s="9"/>
      <c r="Q19" s="9"/>
      <c r="R19" s="9"/>
      <c r="S19" s="9"/>
      <c r="T19" s="9"/>
      <c r="U19" s="5"/>
      <c r="V19" s="15"/>
      <c r="W19" s="15"/>
      <c r="X19" s="15"/>
      <c r="Y19" s="16"/>
      <c r="Z19" s="16"/>
      <c r="AA19" s="16"/>
      <c r="AB19" s="15"/>
      <c r="AC19" s="15"/>
      <c r="AD19" s="17"/>
      <c r="AE19" s="17"/>
      <c r="AF19" s="15"/>
      <c r="AG19" s="15"/>
      <c r="AH19" s="18"/>
      <c r="AI19" s="7"/>
      <c r="AJ19" s="9"/>
      <c r="AK19" s="15"/>
      <c r="AL19" s="9"/>
      <c r="AM19" s="6"/>
      <c r="AN19" s="15"/>
      <c r="AO19" s="16"/>
      <c r="AP19" s="15"/>
      <c r="AQ19" s="16"/>
      <c r="AR19" s="26"/>
      <c r="AS19" s="16"/>
      <c r="AT19" s="8"/>
    </row>
    <row r="20" spans="1:46" ht="17" customHeight="1" x14ac:dyDescent="0.5">
      <c r="A20" s="5"/>
      <c r="B20" s="6"/>
      <c r="C20" s="7"/>
      <c r="D20" s="8"/>
      <c r="E20" s="9"/>
      <c r="F20" s="10"/>
      <c r="G20" s="9"/>
      <c r="H20" s="7"/>
      <c r="I20" s="7"/>
      <c r="J20" s="5"/>
      <c r="K20" s="11"/>
      <c r="L20" s="12"/>
      <c r="M20" s="13"/>
      <c r="N20" s="14"/>
      <c r="O20" s="14"/>
      <c r="P20" s="9"/>
      <c r="Q20" s="9"/>
      <c r="R20" s="9"/>
      <c r="S20" s="9"/>
      <c r="T20" s="9"/>
      <c r="U20" s="5"/>
      <c r="V20" s="15"/>
      <c r="W20" s="15"/>
      <c r="X20" s="15"/>
      <c r="Y20" s="16"/>
      <c r="Z20" s="16"/>
      <c r="AA20" s="16"/>
      <c r="AB20" s="15"/>
      <c r="AC20" s="15"/>
      <c r="AD20" s="17"/>
      <c r="AE20" s="17"/>
      <c r="AF20" s="15"/>
      <c r="AG20" s="15"/>
      <c r="AH20" s="18"/>
      <c r="AI20" s="7"/>
      <c r="AJ20" s="9"/>
      <c r="AK20" s="15"/>
      <c r="AL20" s="9"/>
      <c r="AM20" s="6"/>
      <c r="AN20" s="15"/>
      <c r="AO20" s="16"/>
      <c r="AP20" s="15"/>
      <c r="AQ20" s="16"/>
      <c r="AR20" s="26"/>
      <c r="AS20" s="16"/>
      <c r="AT20" s="8"/>
    </row>
    <row r="21" spans="1:46" ht="17" customHeight="1" x14ac:dyDescent="0.5">
      <c r="A21" s="5"/>
      <c r="B21" s="6"/>
      <c r="C21" s="7"/>
      <c r="D21" s="8"/>
      <c r="E21" s="9"/>
      <c r="F21" s="10"/>
      <c r="G21" s="9"/>
      <c r="H21" s="7"/>
      <c r="I21" s="7"/>
      <c r="J21" s="5"/>
      <c r="K21" s="11"/>
      <c r="L21" s="12"/>
      <c r="M21" s="13"/>
      <c r="N21" s="14"/>
      <c r="O21" s="14"/>
      <c r="P21" s="9"/>
      <c r="Q21" s="9"/>
      <c r="R21" s="9"/>
      <c r="S21" s="9"/>
      <c r="T21" s="9"/>
      <c r="U21" s="5"/>
      <c r="V21" s="15"/>
      <c r="W21" s="15"/>
      <c r="X21" s="15"/>
      <c r="Y21" s="16"/>
      <c r="Z21" s="16"/>
      <c r="AA21" s="16"/>
      <c r="AB21" s="15"/>
      <c r="AC21" s="15"/>
      <c r="AD21" s="17"/>
      <c r="AE21" s="17"/>
      <c r="AF21" s="15"/>
      <c r="AG21" s="15"/>
      <c r="AH21" s="18"/>
      <c r="AI21" s="7"/>
      <c r="AJ21" s="9"/>
      <c r="AK21" s="15"/>
      <c r="AL21" s="9"/>
      <c r="AM21" s="6"/>
      <c r="AN21" s="15"/>
      <c r="AO21" s="16"/>
      <c r="AP21" s="15"/>
      <c r="AQ21" s="16"/>
      <c r="AR21" s="26"/>
      <c r="AS21" s="16"/>
      <c r="AT21" s="8"/>
    </row>
    <row r="22" spans="1:46" ht="17" customHeight="1" x14ac:dyDescent="0.5">
      <c r="A22" s="5"/>
      <c r="B22" s="6"/>
      <c r="C22" s="7"/>
      <c r="D22" s="8"/>
      <c r="E22" s="9"/>
      <c r="F22" s="10"/>
      <c r="G22" s="9"/>
      <c r="H22" s="7"/>
      <c r="I22" s="7"/>
      <c r="J22" s="5"/>
      <c r="K22" s="11"/>
      <c r="L22" s="12"/>
      <c r="M22" s="13"/>
      <c r="N22" s="14"/>
      <c r="O22" s="14"/>
      <c r="P22" s="9"/>
      <c r="Q22" s="9"/>
      <c r="R22" s="9"/>
      <c r="S22" s="9"/>
      <c r="T22" s="9"/>
      <c r="U22" s="5"/>
      <c r="V22" s="15"/>
      <c r="W22" s="15"/>
      <c r="X22" s="15"/>
      <c r="Y22" s="16"/>
      <c r="Z22" s="16"/>
      <c r="AA22" s="16"/>
      <c r="AB22" s="15"/>
      <c r="AC22" s="15"/>
      <c r="AD22" s="17"/>
      <c r="AE22" s="17"/>
      <c r="AF22" s="15"/>
      <c r="AG22" s="15"/>
      <c r="AH22" s="18"/>
      <c r="AI22" s="7"/>
      <c r="AJ22" s="9"/>
      <c r="AK22" s="15"/>
      <c r="AL22" s="9"/>
      <c r="AM22" s="6"/>
      <c r="AN22" s="15"/>
      <c r="AO22" s="16"/>
      <c r="AP22" s="15"/>
      <c r="AQ22" s="16"/>
      <c r="AR22" s="26"/>
      <c r="AS22" s="16"/>
      <c r="AT22" s="8"/>
    </row>
    <row r="23" spans="1:46" ht="17" customHeight="1" x14ac:dyDescent="0.5">
      <c r="A23" s="5"/>
      <c r="B23" s="6"/>
      <c r="C23" s="7"/>
      <c r="D23" s="8"/>
      <c r="E23" s="9"/>
      <c r="F23" s="10"/>
      <c r="G23" s="9"/>
      <c r="H23" s="7"/>
      <c r="I23" s="7"/>
      <c r="J23" s="5"/>
      <c r="K23" s="11"/>
      <c r="L23" s="12"/>
      <c r="M23" s="13"/>
      <c r="N23" s="14"/>
      <c r="O23" s="14"/>
      <c r="P23" s="9"/>
      <c r="Q23" s="9"/>
      <c r="R23" s="9"/>
      <c r="S23" s="9"/>
      <c r="T23" s="9"/>
      <c r="U23" s="5"/>
      <c r="V23" s="15"/>
      <c r="W23" s="15"/>
      <c r="X23" s="15"/>
      <c r="Y23" s="16"/>
      <c r="Z23" s="16"/>
      <c r="AA23" s="16"/>
      <c r="AB23" s="15"/>
      <c r="AC23" s="15"/>
      <c r="AD23" s="17"/>
      <c r="AE23" s="17"/>
      <c r="AF23" s="15"/>
      <c r="AG23" s="15"/>
      <c r="AH23" s="18"/>
      <c r="AI23" s="7"/>
      <c r="AJ23" s="9"/>
      <c r="AK23" s="15"/>
      <c r="AL23" s="9"/>
      <c r="AM23" s="6"/>
      <c r="AN23" s="15"/>
      <c r="AO23" s="16"/>
      <c r="AP23" s="15"/>
      <c r="AQ23" s="16"/>
      <c r="AR23" s="26"/>
      <c r="AS23" s="16"/>
      <c r="AT23" s="8"/>
    </row>
    <row r="24" spans="1:46" ht="17" customHeight="1" x14ac:dyDescent="0.5">
      <c r="A24" s="5"/>
      <c r="B24" s="6"/>
      <c r="C24" s="7"/>
      <c r="D24" s="8"/>
      <c r="E24" s="9"/>
      <c r="F24" s="10"/>
      <c r="G24" s="9"/>
      <c r="H24" s="7"/>
      <c r="I24" s="7"/>
      <c r="J24" s="5"/>
      <c r="K24" s="11"/>
      <c r="L24" s="12"/>
      <c r="M24" s="13"/>
      <c r="N24" s="14"/>
      <c r="O24" s="14"/>
      <c r="P24" s="9"/>
      <c r="Q24" s="9"/>
      <c r="R24" s="9"/>
      <c r="S24" s="9"/>
      <c r="T24" s="9"/>
      <c r="U24" s="5"/>
      <c r="V24" s="15"/>
      <c r="W24" s="15"/>
      <c r="X24" s="15"/>
      <c r="Y24" s="16"/>
      <c r="Z24" s="16"/>
      <c r="AA24" s="16"/>
      <c r="AB24" s="15"/>
      <c r="AC24" s="15"/>
      <c r="AD24" s="17"/>
      <c r="AE24" s="17"/>
      <c r="AF24" s="15"/>
      <c r="AG24" s="15"/>
      <c r="AH24" s="18"/>
      <c r="AI24" s="7"/>
      <c r="AJ24" s="9"/>
      <c r="AK24" s="15"/>
      <c r="AL24" s="9"/>
      <c r="AM24" s="6"/>
      <c r="AN24" s="15"/>
      <c r="AO24" s="16"/>
      <c r="AP24" s="15"/>
      <c r="AQ24" s="16"/>
      <c r="AR24" s="26"/>
      <c r="AS24" s="16"/>
      <c r="AT24" s="8"/>
    </row>
    <row r="25" spans="1:46" ht="17" customHeight="1" x14ac:dyDescent="0.5">
      <c r="A25" s="5"/>
      <c r="B25" s="6"/>
      <c r="C25" s="7"/>
      <c r="D25" s="8"/>
      <c r="E25" s="9"/>
      <c r="F25" s="10"/>
      <c r="G25" s="9"/>
      <c r="H25" s="7"/>
      <c r="I25" s="7"/>
      <c r="J25" s="5"/>
      <c r="K25" s="11"/>
      <c r="L25" s="12"/>
      <c r="M25" s="13"/>
      <c r="N25" s="14"/>
      <c r="O25" s="14"/>
      <c r="P25" s="9"/>
      <c r="Q25" s="9"/>
      <c r="R25" s="9"/>
      <c r="S25" s="9"/>
      <c r="T25" s="9"/>
      <c r="U25" s="5"/>
      <c r="V25" s="15"/>
      <c r="W25" s="15"/>
      <c r="X25" s="15"/>
      <c r="Y25" s="16"/>
      <c r="Z25" s="16"/>
      <c r="AA25" s="16"/>
      <c r="AB25" s="15"/>
      <c r="AC25" s="15"/>
      <c r="AD25" s="17"/>
      <c r="AE25" s="17"/>
      <c r="AF25" s="15"/>
      <c r="AG25" s="15"/>
      <c r="AH25" s="18"/>
      <c r="AI25" s="7"/>
      <c r="AJ25" s="9"/>
      <c r="AK25" s="15"/>
      <c r="AL25" s="9"/>
      <c r="AM25" s="6"/>
      <c r="AN25" s="15"/>
      <c r="AO25" s="16"/>
      <c r="AP25" s="15"/>
      <c r="AQ25" s="16"/>
      <c r="AR25" s="26"/>
      <c r="AS25" s="16"/>
      <c r="AT25" s="8"/>
    </row>
    <row r="26" spans="1:46" ht="17" customHeight="1" x14ac:dyDescent="0.5">
      <c r="A26" s="5"/>
      <c r="B26" s="6"/>
      <c r="C26" s="7"/>
      <c r="D26" s="8"/>
      <c r="E26" s="9"/>
      <c r="F26" s="10"/>
      <c r="G26" s="9"/>
      <c r="H26" s="7"/>
      <c r="I26" s="7"/>
      <c r="J26" s="5"/>
      <c r="K26" s="11"/>
      <c r="L26" s="12"/>
      <c r="M26" s="13"/>
      <c r="N26" s="14"/>
      <c r="O26" s="14"/>
      <c r="P26" s="9"/>
      <c r="Q26" s="9"/>
      <c r="R26" s="9"/>
      <c r="S26" s="9"/>
      <c r="T26" s="9"/>
      <c r="U26" s="5"/>
      <c r="V26" s="15"/>
      <c r="W26" s="15"/>
      <c r="X26" s="15"/>
      <c r="Y26" s="16"/>
      <c r="Z26" s="16"/>
      <c r="AA26" s="16"/>
      <c r="AB26" s="15"/>
      <c r="AC26" s="15"/>
      <c r="AD26" s="17"/>
      <c r="AE26" s="17"/>
      <c r="AF26" s="15"/>
      <c r="AG26" s="15"/>
      <c r="AH26" s="18"/>
      <c r="AI26" s="7"/>
      <c r="AJ26" s="9"/>
      <c r="AK26" s="15"/>
      <c r="AL26" s="9"/>
      <c r="AM26" s="6"/>
      <c r="AN26" s="15"/>
      <c r="AO26" s="16"/>
      <c r="AP26" s="15"/>
      <c r="AQ26" s="16"/>
      <c r="AR26" s="26"/>
      <c r="AS26" s="16"/>
      <c r="AT26" s="8"/>
    </row>
    <row r="27" spans="1:46" ht="17" customHeight="1" x14ac:dyDescent="0.5">
      <c r="A27" s="5"/>
      <c r="B27" s="6"/>
      <c r="C27" s="7"/>
      <c r="D27" s="8"/>
      <c r="E27" s="9"/>
      <c r="F27" s="10"/>
      <c r="G27" s="9"/>
      <c r="H27" s="7"/>
      <c r="I27" s="7"/>
      <c r="J27" s="5"/>
      <c r="K27" s="11"/>
      <c r="L27" s="12"/>
      <c r="M27" s="13"/>
      <c r="N27" s="14"/>
      <c r="O27" s="14"/>
      <c r="P27" s="9"/>
      <c r="Q27" s="9"/>
      <c r="R27" s="9"/>
      <c r="S27" s="9"/>
      <c r="T27" s="9"/>
      <c r="U27" s="5"/>
      <c r="V27" s="15"/>
      <c r="W27" s="15"/>
      <c r="X27" s="15"/>
      <c r="Y27" s="16"/>
      <c r="Z27" s="16"/>
      <c r="AA27" s="16"/>
      <c r="AB27" s="15"/>
      <c r="AC27" s="15"/>
      <c r="AD27" s="17"/>
      <c r="AE27" s="17"/>
      <c r="AF27" s="15"/>
      <c r="AG27" s="15"/>
      <c r="AH27" s="18"/>
      <c r="AI27" s="7"/>
      <c r="AJ27" s="9"/>
      <c r="AK27" s="15"/>
      <c r="AL27" s="9"/>
      <c r="AM27" s="6"/>
      <c r="AN27" s="15"/>
      <c r="AO27" s="16"/>
      <c r="AP27" s="15"/>
      <c r="AQ27" s="16"/>
      <c r="AR27" s="26"/>
      <c r="AS27" s="16"/>
      <c r="AT27" s="8"/>
    </row>
    <row r="28" spans="1:46" ht="17" customHeight="1" x14ac:dyDescent="0.5">
      <c r="A28" s="5"/>
      <c r="B28" s="6"/>
      <c r="C28" s="7"/>
      <c r="D28" s="8"/>
      <c r="E28" s="9"/>
      <c r="F28" s="10"/>
      <c r="G28" s="9"/>
      <c r="H28" s="7"/>
      <c r="I28" s="7"/>
      <c r="J28" s="5"/>
      <c r="K28" s="11"/>
      <c r="L28" s="12"/>
      <c r="M28" s="13"/>
      <c r="N28" s="14"/>
      <c r="O28" s="14"/>
      <c r="P28" s="9"/>
      <c r="Q28" s="9"/>
      <c r="R28" s="9"/>
      <c r="S28" s="9"/>
      <c r="T28" s="9"/>
      <c r="U28" s="5"/>
      <c r="V28" s="15"/>
      <c r="W28" s="15"/>
      <c r="X28" s="15"/>
      <c r="Y28" s="16"/>
      <c r="Z28" s="16"/>
      <c r="AA28" s="16"/>
      <c r="AB28" s="15"/>
      <c r="AC28" s="15"/>
      <c r="AD28" s="17"/>
      <c r="AE28" s="17"/>
      <c r="AF28" s="15"/>
      <c r="AG28" s="15"/>
      <c r="AH28" s="18"/>
      <c r="AI28" s="7"/>
      <c r="AJ28" s="9"/>
      <c r="AK28" s="15"/>
      <c r="AL28" s="9"/>
      <c r="AM28" s="6"/>
      <c r="AN28" s="15"/>
      <c r="AO28" s="16"/>
      <c r="AP28" s="15"/>
      <c r="AQ28" s="16"/>
      <c r="AR28" s="26"/>
      <c r="AS28" s="16"/>
      <c r="AT28" s="8"/>
    </row>
    <row r="29" spans="1:46" ht="17" customHeight="1" x14ac:dyDescent="0.5">
      <c r="A29" s="5"/>
      <c r="B29" s="6"/>
      <c r="C29" s="7"/>
      <c r="D29" s="8"/>
      <c r="E29" s="9"/>
      <c r="F29" s="10"/>
      <c r="G29" s="9"/>
      <c r="H29" s="7"/>
      <c r="I29" s="7"/>
      <c r="J29" s="5"/>
      <c r="K29" s="11"/>
      <c r="L29" s="12"/>
      <c r="M29" s="13"/>
      <c r="N29" s="14"/>
      <c r="O29" s="14"/>
      <c r="P29" s="9"/>
      <c r="Q29" s="9"/>
      <c r="R29" s="9"/>
      <c r="S29" s="9"/>
      <c r="T29" s="9"/>
      <c r="U29" s="5"/>
      <c r="V29" s="15"/>
      <c r="W29" s="15"/>
      <c r="X29" s="15"/>
      <c r="Y29" s="16"/>
      <c r="Z29" s="16"/>
      <c r="AA29" s="16"/>
      <c r="AB29" s="15"/>
      <c r="AC29" s="15"/>
      <c r="AD29" s="17"/>
      <c r="AE29" s="17"/>
      <c r="AF29" s="15"/>
      <c r="AG29" s="15"/>
      <c r="AH29" s="18"/>
      <c r="AI29" s="7"/>
      <c r="AJ29" s="9"/>
      <c r="AK29" s="15"/>
      <c r="AL29" s="9"/>
      <c r="AM29" s="6"/>
      <c r="AN29" s="15"/>
      <c r="AO29" s="16"/>
      <c r="AP29" s="15"/>
      <c r="AQ29" s="16"/>
      <c r="AR29" s="26"/>
      <c r="AS29" s="16"/>
      <c r="AT29" s="8"/>
    </row>
    <row r="30" spans="1:46" ht="17" customHeight="1" x14ac:dyDescent="0.5">
      <c r="A30" s="5"/>
      <c r="B30" s="6"/>
      <c r="C30" s="7"/>
      <c r="D30" s="8"/>
      <c r="E30" s="9"/>
      <c r="F30" s="10"/>
      <c r="G30" s="9"/>
      <c r="H30" s="7"/>
      <c r="I30" s="7"/>
      <c r="J30" s="5"/>
      <c r="K30" s="11"/>
      <c r="L30" s="12"/>
      <c r="M30" s="13"/>
      <c r="N30" s="14"/>
      <c r="O30" s="14"/>
      <c r="P30" s="9"/>
      <c r="Q30" s="9"/>
      <c r="R30" s="9"/>
      <c r="S30" s="9"/>
      <c r="T30" s="9"/>
      <c r="U30" s="5"/>
      <c r="V30" s="15"/>
      <c r="W30" s="15"/>
      <c r="X30" s="15"/>
      <c r="Y30" s="16"/>
      <c r="Z30" s="16"/>
      <c r="AA30" s="16"/>
      <c r="AB30" s="15"/>
      <c r="AC30" s="15"/>
      <c r="AD30" s="17"/>
      <c r="AE30" s="17"/>
      <c r="AF30" s="15"/>
      <c r="AG30" s="15"/>
      <c r="AH30" s="18"/>
      <c r="AI30" s="7"/>
      <c r="AJ30" s="9"/>
      <c r="AK30" s="15"/>
      <c r="AL30" s="9"/>
      <c r="AM30" s="6"/>
      <c r="AN30" s="15"/>
      <c r="AO30" s="16"/>
      <c r="AP30" s="15"/>
      <c r="AQ30" s="16"/>
      <c r="AR30" s="26"/>
      <c r="AS30" s="16"/>
      <c r="AT30" s="8"/>
    </row>
    <row r="31" spans="1:46" ht="17" customHeight="1" x14ac:dyDescent="0.5">
      <c r="A31" s="5"/>
      <c r="B31" s="6"/>
      <c r="C31" s="7"/>
      <c r="D31" s="8"/>
      <c r="E31" s="9"/>
      <c r="F31" s="10"/>
      <c r="G31" s="9"/>
      <c r="H31" s="7"/>
      <c r="I31" s="7"/>
      <c r="J31" s="5"/>
      <c r="K31" s="11"/>
      <c r="L31" s="12"/>
      <c r="M31" s="13"/>
      <c r="N31" s="14"/>
      <c r="O31" s="14"/>
      <c r="P31" s="9"/>
      <c r="Q31" s="9"/>
      <c r="R31" s="9"/>
      <c r="S31" s="9"/>
      <c r="T31" s="9"/>
      <c r="U31" s="5"/>
      <c r="V31" s="15"/>
      <c r="W31" s="15"/>
      <c r="X31" s="15"/>
      <c r="Y31" s="16"/>
      <c r="Z31" s="16"/>
      <c r="AA31" s="16"/>
      <c r="AB31" s="15"/>
      <c r="AC31" s="15"/>
      <c r="AD31" s="17"/>
      <c r="AE31" s="17"/>
      <c r="AF31" s="15"/>
      <c r="AG31" s="15"/>
      <c r="AH31" s="18"/>
      <c r="AI31" s="7"/>
      <c r="AJ31" s="9"/>
      <c r="AK31" s="15"/>
      <c r="AL31" s="9"/>
      <c r="AM31" s="6"/>
      <c r="AN31" s="15"/>
      <c r="AO31" s="16"/>
      <c r="AP31" s="15"/>
      <c r="AQ31" s="16"/>
      <c r="AR31" s="26"/>
      <c r="AS31" s="16"/>
      <c r="AT31" s="8"/>
    </row>
    <row r="32" spans="1:46" ht="17" customHeight="1" x14ac:dyDescent="0.5">
      <c r="A32" s="5"/>
      <c r="B32" s="6"/>
      <c r="C32" s="7"/>
      <c r="D32" s="8"/>
      <c r="E32" s="9"/>
      <c r="F32" s="10"/>
      <c r="G32" s="9"/>
      <c r="H32" s="7"/>
      <c r="I32" s="7"/>
      <c r="J32" s="5"/>
      <c r="K32" s="11"/>
      <c r="L32" s="12"/>
      <c r="M32" s="13"/>
      <c r="N32" s="14"/>
      <c r="O32" s="14"/>
      <c r="P32" s="9"/>
      <c r="Q32" s="9"/>
      <c r="R32" s="9"/>
      <c r="S32" s="9"/>
      <c r="T32" s="9"/>
      <c r="U32" s="5"/>
      <c r="V32" s="15"/>
      <c r="W32" s="15"/>
      <c r="X32" s="15"/>
      <c r="Y32" s="16"/>
      <c r="Z32" s="16"/>
      <c r="AA32" s="16"/>
      <c r="AB32" s="15"/>
      <c r="AC32" s="15"/>
      <c r="AD32" s="17"/>
      <c r="AE32" s="17"/>
      <c r="AF32" s="15"/>
      <c r="AG32" s="15"/>
      <c r="AH32" s="18"/>
      <c r="AI32" s="7"/>
      <c r="AJ32" s="9"/>
      <c r="AK32" s="15"/>
      <c r="AL32" s="9"/>
      <c r="AM32" s="6"/>
      <c r="AN32" s="15"/>
      <c r="AO32" s="16"/>
      <c r="AP32" s="15"/>
      <c r="AQ32" s="16"/>
      <c r="AR32" s="26"/>
      <c r="AS32" s="16"/>
      <c r="AT32" s="8"/>
    </row>
    <row r="33" spans="1:46" ht="17" customHeight="1" x14ac:dyDescent="0.5">
      <c r="A33" s="5"/>
      <c r="B33" s="6"/>
      <c r="C33" s="7"/>
      <c r="D33" s="8"/>
      <c r="E33" s="9"/>
      <c r="F33" s="10"/>
      <c r="G33" s="9"/>
      <c r="H33" s="7"/>
      <c r="I33" s="7"/>
      <c r="J33" s="5"/>
      <c r="K33" s="11"/>
      <c r="L33" s="12"/>
      <c r="M33" s="13"/>
      <c r="N33" s="14"/>
      <c r="O33" s="14"/>
      <c r="P33" s="9"/>
      <c r="Q33" s="9"/>
      <c r="R33" s="9"/>
      <c r="S33" s="9"/>
      <c r="T33" s="9"/>
      <c r="U33" s="5"/>
      <c r="V33" s="15"/>
      <c r="W33" s="15"/>
      <c r="X33" s="15"/>
      <c r="Y33" s="16"/>
      <c r="Z33" s="16"/>
      <c r="AA33" s="16"/>
      <c r="AB33" s="15"/>
      <c r="AC33" s="15"/>
      <c r="AD33" s="17"/>
      <c r="AE33" s="17"/>
      <c r="AF33" s="15"/>
      <c r="AG33" s="15"/>
      <c r="AH33" s="18"/>
      <c r="AI33" s="7"/>
      <c r="AJ33" s="9"/>
      <c r="AK33" s="15"/>
      <c r="AL33" s="9"/>
      <c r="AM33" s="6"/>
      <c r="AN33" s="15"/>
      <c r="AO33" s="16"/>
      <c r="AP33" s="15"/>
      <c r="AQ33" s="16"/>
      <c r="AR33" s="26"/>
      <c r="AS33" s="16"/>
      <c r="AT33" s="8"/>
    </row>
  </sheetData>
  <phoneticPr fontId="9"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0631-B717-7C4A-850E-24B3B039142E}">
  <sheetPr>
    <tabColor rgb="FFFFFF00"/>
  </sheetPr>
  <dimension ref="A2:AS33"/>
  <sheetViews>
    <sheetView topLeftCell="P1" workbookViewId="0">
      <pane ySplit="7" topLeftCell="A8" activePane="bottomLeft" state="frozen"/>
      <selection pane="bottomLeft" activeCell="A10" sqref="A10:XFD10"/>
    </sheetView>
  </sheetViews>
  <sheetFormatPr defaultColWidth="10.796875" defaultRowHeight="15.75" x14ac:dyDescent="0.5"/>
  <cols>
    <col min="1" max="5" width="20.796875" style="2" customWidth="1"/>
    <col min="6" max="6" width="20.796875" style="3" customWidth="1"/>
    <col min="7" max="9" width="20.796875" style="2" customWidth="1"/>
    <col min="10" max="10" width="20.796875" style="4" customWidth="1"/>
    <col min="11" max="12" width="20.796875" style="2" customWidth="1"/>
    <col min="13" max="14" width="20.796875" style="4" customWidth="1"/>
    <col min="15" max="44" width="20.796875" style="2" customWidth="1"/>
    <col min="45" max="45" width="166.6640625" style="2" customWidth="1"/>
    <col min="46" max="139" width="20.796875" style="2" customWidth="1"/>
    <col min="140" max="16384" width="10.796875" style="2"/>
  </cols>
  <sheetData>
    <row r="2" spans="1:45" ht="17" customHeight="1" x14ac:dyDescent="0.5">
      <c r="A2" s="1" t="s">
        <v>0</v>
      </c>
    </row>
    <row r="3" spans="1:45" ht="17" customHeight="1" x14ac:dyDescent="0.5"/>
    <row r="4" spans="1:45" ht="17" customHeight="1" x14ac:dyDescent="0.5">
      <c r="A4" s="5"/>
      <c r="B4" s="6" t="s">
        <v>1</v>
      </c>
      <c r="C4" s="7"/>
      <c r="D4" s="8"/>
      <c r="E4" s="9"/>
      <c r="F4" s="10">
        <v>3</v>
      </c>
      <c r="G4" s="9"/>
      <c r="H4" s="7"/>
      <c r="I4" s="5"/>
      <c r="J4" s="11"/>
      <c r="K4" s="12"/>
      <c r="L4" s="13"/>
      <c r="M4" s="14" t="s">
        <v>2</v>
      </c>
      <c r="N4" s="14" t="s">
        <v>2</v>
      </c>
      <c r="O4" s="9"/>
      <c r="P4" s="9"/>
      <c r="Q4" s="9"/>
      <c r="R4" s="9"/>
      <c r="S4" s="9"/>
      <c r="T4" s="5"/>
      <c r="U4" s="15">
        <f>((R4-Q4)-S4)*(T4*100)</f>
        <v>0</v>
      </c>
      <c r="V4" s="15">
        <f>E4*0.03</f>
        <v>0</v>
      </c>
      <c r="W4" s="15">
        <f>(R4-Q4)</f>
        <v>0</v>
      </c>
      <c r="X4" s="16" t="e">
        <f>(W4-S4)/W4</f>
        <v>#DIV/0!</v>
      </c>
      <c r="Y4" s="16" t="e">
        <f>(P4-G4)/G4</f>
        <v>#DIV/0!</v>
      </c>
      <c r="Z4" s="16" t="e">
        <f>(Q4-G4)/G4</f>
        <v>#DIV/0!</v>
      </c>
      <c r="AA4" s="15">
        <f>S4*0.5</f>
        <v>0</v>
      </c>
      <c r="AB4" s="15">
        <f>(S4*0.5)*(T4*100)</f>
        <v>0</v>
      </c>
      <c r="AC4" s="17">
        <f>S4*1.5</f>
        <v>0</v>
      </c>
      <c r="AD4" s="17">
        <f>-((S4/2)*(T4*100))</f>
        <v>0</v>
      </c>
      <c r="AE4" s="15">
        <f>G4*0.96</f>
        <v>0</v>
      </c>
      <c r="AF4" s="15">
        <f>G4*1.04</f>
        <v>0</v>
      </c>
      <c r="AG4" s="18"/>
      <c r="AH4" s="7"/>
      <c r="AI4" s="9"/>
      <c r="AJ4" s="16" t="e">
        <f>(AI4-G4)/G4</f>
        <v>#DIV/0!</v>
      </c>
      <c r="AK4" s="9"/>
      <c r="AL4" s="6">
        <f>AH4-C4</f>
        <v>0</v>
      </c>
      <c r="AM4" s="15">
        <f>((T4*4)*2)*0.65</f>
        <v>0</v>
      </c>
      <c r="AN4" s="16" t="e">
        <f>AM4/U4</f>
        <v>#DIV/0!</v>
      </c>
      <c r="AO4" s="15">
        <f>((S4-AK4)*(T4*100))-AM4</f>
        <v>0</v>
      </c>
      <c r="AP4" s="16" t="e">
        <f>AO4/U4</f>
        <v>#DIV/0!</v>
      </c>
      <c r="AQ4" s="26" t="e">
        <f>AO4/(E4*0.2)</f>
        <v>#DIV/0!</v>
      </c>
      <c r="AR4" s="16" t="e">
        <f>AO4/E4</f>
        <v>#DIV/0!</v>
      </c>
      <c r="AS4" s="8"/>
    </row>
    <row r="5" spans="1:45" ht="17" customHeight="1" x14ac:dyDescent="0.5">
      <c r="A5" s="5"/>
      <c r="B5" s="6" t="s">
        <v>3</v>
      </c>
      <c r="C5" s="7"/>
      <c r="D5" s="8"/>
      <c r="E5" s="9"/>
      <c r="F5" s="10">
        <v>3</v>
      </c>
      <c r="G5" s="9"/>
      <c r="H5" s="7"/>
      <c r="I5" s="5"/>
      <c r="J5" s="11"/>
      <c r="K5" s="12"/>
      <c r="L5" s="13"/>
      <c r="M5" s="14" t="s">
        <v>4</v>
      </c>
      <c r="N5" s="14" t="s">
        <v>4</v>
      </c>
      <c r="O5" s="9"/>
      <c r="P5" s="9"/>
      <c r="Q5" s="15" t="s">
        <v>4</v>
      </c>
      <c r="R5" s="15" t="s">
        <v>4</v>
      </c>
      <c r="S5" s="9"/>
      <c r="T5" s="5"/>
      <c r="U5" s="15">
        <f>S5*(T5*100)</f>
        <v>0</v>
      </c>
      <c r="V5" s="15">
        <f>E5*0.02</f>
        <v>0</v>
      </c>
      <c r="W5" s="15" t="s">
        <v>4</v>
      </c>
      <c r="X5" s="16" t="s">
        <v>4</v>
      </c>
      <c r="Y5" s="16" t="e">
        <f>(G5-P5)/G5</f>
        <v>#DIV/0!</v>
      </c>
      <c r="Z5" s="16" t="s">
        <v>4</v>
      </c>
      <c r="AA5" s="15">
        <f>S5*1.25</f>
        <v>0</v>
      </c>
      <c r="AB5" s="15">
        <f>(S5*0.25)*(T5*100)</f>
        <v>0</v>
      </c>
      <c r="AC5" s="17">
        <f>S5*0.75</f>
        <v>0</v>
      </c>
      <c r="AD5" s="17">
        <f>-((S5*0.25)*(T5*100))</f>
        <v>0</v>
      </c>
      <c r="AE5" s="15">
        <f>G5*0.96</f>
        <v>0</v>
      </c>
      <c r="AF5" s="15">
        <f>G5*1.04</f>
        <v>0</v>
      </c>
      <c r="AG5" s="18"/>
      <c r="AH5" s="7"/>
      <c r="AI5" s="9"/>
      <c r="AJ5" s="16" t="e">
        <f>(AI5-G5)/G5</f>
        <v>#DIV/0!</v>
      </c>
      <c r="AK5" s="9"/>
      <c r="AL5" s="6">
        <f>AH5-C5</f>
        <v>0</v>
      </c>
      <c r="AM5" s="15">
        <f>((T5*2)*2)*0.65</f>
        <v>0</v>
      </c>
      <c r="AN5" s="16" t="e">
        <f>AM5/U5</f>
        <v>#DIV/0!</v>
      </c>
      <c r="AO5" s="15">
        <f>((AK5-S5)*(T5*100))-AM5</f>
        <v>0</v>
      </c>
      <c r="AP5" s="16" t="e">
        <f>AO5/U5</f>
        <v>#DIV/0!</v>
      </c>
      <c r="AQ5" s="26" t="e">
        <f>AO5/(E5*0.2)</f>
        <v>#DIV/0!</v>
      </c>
      <c r="AR5" s="16" t="e">
        <f>AO5/E5</f>
        <v>#DIV/0!</v>
      </c>
      <c r="AS5" s="8"/>
    </row>
    <row r="6" spans="1:45" ht="17" customHeight="1" x14ac:dyDescent="0.5"/>
    <row r="7" spans="1:45" ht="50" customHeight="1" x14ac:dyDescent="0.5">
      <c r="A7" s="19" t="s">
        <v>5</v>
      </c>
      <c r="B7" s="20" t="s">
        <v>6</v>
      </c>
      <c r="C7" s="19" t="s">
        <v>7</v>
      </c>
      <c r="D7" s="19" t="s">
        <v>8</v>
      </c>
      <c r="E7" s="19" t="s">
        <v>9</v>
      </c>
      <c r="F7" s="20" t="s">
        <v>10</v>
      </c>
      <c r="G7" s="19" t="s">
        <v>11</v>
      </c>
      <c r="H7" s="19" t="s">
        <v>12</v>
      </c>
      <c r="I7" s="19" t="s">
        <v>13</v>
      </c>
      <c r="J7" s="21" t="s">
        <v>14</v>
      </c>
      <c r="K7" s="12" t="s">
        <v>15</v>
      </c>
      <c r="L7" s="21" t="s">
        <v>16</v>
      </c>
      <c r="M7" s="15" t="s">
        <v>17</v>
      </c>
      <c r="N7" s="15" t="s">
        <v>18</v>
      </c>
      <c r="O7" s="8" t="s">
        <v>19</v>
      </c>
      <c r="P7" s="22" t="s">
        <v>20</v>
      </c>
      <c r="Q7" s="8" t="s">
        <v>21</v>
      </c>
      <c r="R7" s="8" t="s">
        <v>22</v>
      </c>
      <c r="S7" s="19" t="s">
        <v>23</v>
      </c>
      <c r="T7" s="19" t="s">
        <v>24</v>
      </c>
      <c r="U7" s="20" t="s">
        <v>25</v>
      </c>
      <c r="V7" s="20" t="s">
        <v>26</v>
      </c>
      <c r="W7" s="23" t="s">
        <v>27</v>
      </c>
      <c r="X7" s="24" t="s">
        <v>28</v>
      </c>
      <c r="Y7" s="24" t="s">
        <v>29</v>
      </c>
      <c r="Z7" s="24" t="s">
        <v>30</v>
      </c>
      <c r="AA7" s="20" t="s">
        <v>31</v>
      </c>
      <c r="AB7" s="20" t="s">
        <v>32</v>
      </c>
      <c r="AC7" s="20" t="s">
        <v>33</v>
      </c>
      <c r="AD7" s="20" t="s">
        <v>34</v>
      </c>
      <c r="AE7" s="24" t="s">
        <v>35</v>
      </c>
      <c r="AF7" s="24" t="s">
        <v>36</v>
      </c>
      <c r="AG7" s="18"/>
      <c r="AH7" s="8" t="s">
        <v>37</v>
      </c>
      <c r="AI7" s="8" t="s">
        <v>38</v>
      </c>
      <c r="AJ7" s="24" t="s">
        <v>48</v>
      </c>
      <c r="AK7" s="8" t="s">
        <v>39</v>
      </c>
      <c r="AL7" s="24" t="s">
        <v>40</v>
      </c>
      <c r="AM7" s="24" t="s">
        <v>41</v>
      </c>
      <c r="AN7" s="24" t="s">
        <v>42</v>
      </c>
      <c r="AO7" s="24" t="s">
        <v>43</v>
      </c>
      <c r="AP7" s="24" t="s">
        <v>44</v>
      </c>
      <c r="AQ7" s="27" t="s">
        <v>49</v>
      </c>
      <c r="AR7" s="24" t="s">
        <v>45</v>
      </c>
      <c r="AS7" s="8" t="s">
        <v>46</v>
      </c>
    </row>
    <row r="8" spans="1:45" ht="17" customHeight="1" x14ac:dyDescent="0.5"/>
    <row r="9" spans="1:45" ht="17" customHeight="1" x14ac:dyDescent="0.5">
      <c r="A9" s="25" t="s">
        <v>50</v>
      </c>
      <c r="B9" s="6" t="s">
        <v>1</v>
      </c>
      <c r="C9" s="7">
        <v>44944</v>
      </c>
      <c r="D9" s="8" t="s">
        <v>47</v>
      </c>
      <c r="E9" s="9">
        <v>274395.3</v>
      </c>
      <c r="F9" s="10">
        <v>3</v>
      </c>
      <c r="G9" s="9">
        <v>393.12</v>
      </c>
      <c r="H9" s="7">
        <v>45002</v>
      </c>
      <c r="I9" s="5">
        <v>58</v>
      </c>
      <c r="J9" s="11">
        <v>20.34</v>
      </c>
      <c r="K9" s="12">
        <v>0.28000000000000003</v>
      </c>
      <c r="L9" s="13">
        <v>0.48559999999999998</v>
      </c>
      <c r="M9" s="14" t="s">
        <v>2</v>
      </c>
      <c r="N9" s="14" t="s">
        <v>2</v>
      </c>
      <c r="O9" s="9">
        <v>365</v>
      </c>
      <c r="P9" s="9">
        <v>370</v>
      </c>
      <c r="Q9" s="9">
        <v>435</v>
      </c>
      <c r="R9" s="9">
        <v>440</v>
      </c>
      <c r="S9" s="9">
        <v>1.2</v>
      </c>
      <c r="T9" s="5">
        <v>21</v>
      </c>
      <c r="U9" s="15">
        <f>((R9-Q9)-S9)*(T9*100)</f>
        <v>7980</v>
      </c>
      <c r="V9" s="15">
        <f>E9*0.03</f>
        <v>8231.8589999999986</v>
      </c>
      <c r="W9" s="15">
        <f>(R9-Q9)</f>
        <v>5</v>
      </c>
      <c r="X9" s="16">
        <f>(W9-S9)/W9</f>
        <v>0.76</v>
      </c>
      <c r="Y9" s="16">
        <f>(P9-G9)/G9</f>
        <v>-5.881155881155882E-2</v>
      </c>
      <c r="Z9" s="16">
        <f>(Q9-G9)/G9</f>
        <v>0.10653235653235651</v>
      </c>
      <c r="AA9" s="15">
        <f>S9*0.5</f>
        <v>0.6</v>
      </c>
      <c r="AB9" s="15">
        <f>(S9*0.5)*(T9*100)</f>
        <v>1260</v>
      </c>
      <c r="AC9" s="17">
        <f>S9*1.5</f>
        <v>1.7999999999999998</v>
      </c>
      <c r="AD9" s="17">
        <f>-((S9/2)*(T9*100))</f>
        <v>-1260</v>
      </c>
      <c r="AE9" s="15">
        <f>G9*0.96</f>
        <v>377.39519999999999</v>
      </c>
      <c r="AF9" s="15">
        <f>G9*1.04</f>
        <v>408.84480000000002</v>
      </c>
      <c r="AG9" s="18"/>
      <c r="AH9" s="7">
        <v>44974</v>
      </c>
      <c r="AI9" s="9">
        <v>407.08</v>
      </c>
      <c r="AJ9" s="16">
        <f>(AI9-G9)/G9</f>
        <v>3.5510785510785459E-2</v>
      </c>
      <c r="AK9" s="9">
        <v>0.63</v>
      </c>
      <c r="AL9" s="6">
        <f>AH9-C9</f>
        <v>30</v>
      </c>
      <c r="AM9" s="15">
        <f>((T9*4)*2)*0.65</f>
        <v>109.2</v>
      </c>
      <c r="AN9" s="16">
        <f>AM9/U9</f>
        <v>1.368421052631579E-2</v>
      </c>
      <c r="AO9" s="15">
        <f>((S9-AK9)*(T9*100))-AM9</f>
        <v>1087.8</v>
      </c>
      <c r="AP9" s="16">
        <f>AO9/U9</f>
        <v>0.1363157894736842</v>
      </c>
      <c r="AQ9" s="26">
        <f>AO9/(E9*0.2)</f>
        <v>1.9821768084220103E-2</v>
      </c>
      <c r="AR9" s="16">
        <f>AO9/E9</f>
        <v>3.9643536168440206E-3</v>
      </c>
      <c r="AS9" s="8"/>
    </row>
    <row r="10" spans="1:45" ht="17" customHeight="1" x14ac:dyDescent="0.5">
      <c r="A10" s="5"/>
      <c r="B10" s="6"/>
      <c r="C10" s="7"/>
      <c r="D10" s="8"/>
      <c r="E10" s="9"/>
      <c r="F10" s="10"/>
      <c r="G10" s="9"/>
      <c r="H10" s="7"/>
      <c r="I10" s="5"/>
      <c r="J10" s="11"/>
      <c r="K10" s="12"/>
      <c r="L10" s="13"/>
      <c r="M10" s="14"/>
      <c r="N10" s="14"/>
      <c r="O10" s="9"/>
      <c r="P10" s="9"/>
      <c r="Q10" s="9"/>
      <c r="R10" s="9"/>
      <c r="S10" s="9"/>
      <c r="T10" s="5"/>
      <c r="U10" s="15"/>
      <c r="V10" s="15"/>
      <c r="W10" s="15"/>
      <c r="X10" s="16"/>
      <c r="Y10" s="16"/>
      <c r="Z10" s="16"/>
      <c r="AA10" s="15"/>
      <c r="AB10" s="15"/>
      <c r="AC10" s="17"/>
      <c r="AD10" s="17"/>
      <c r="AE10" s="15"/>
      <c r="AF10" s="15"/>
      <c r="AG10" s="18"/>
      <c r="AH10" s="7"/>
      <c r="AI10" s="9"/>
      <c r="AJ10" s="15"/>
      <c r="AK10" s="9"/>
      <c r="AL10" s="6"/>
      <c r="AM10" s="15"/>
      <c r="AN10" s="16"/>
      <c r="AO10" s="15"/>
      <c r="AP10" s="16"/>
      <c r="AQ10" s="26"/>
      <c r="AR10" s="16"/>
      <c r="AS10" s="8"/>
    </row>
    <row r="11" spans="1:45" ht="17" customHeight="1" x14ac:dyDescent="0.5">
      <c r="A11" s="5"/>
      <c r="B11" s="6"/>
      <c r="C11" s="7"/>
      <c r="D11" s="8"/>
      <c r="E11" s="9"/>
      <c r="F11" s="10"/>
      <c r="G11" s="9"/>
      <c r="H11" s="7"/>
      <c r="I11" s="5"/>
      <c r="J11" s="11"/>
      <c r="K11" s="12"/>
      <c r="L11" s="13"/>
      <c r="M11" s="14"/>
      <c r="N11" s="14"/>
      <c r="O11" s="9"/>
      <c r="P11" s="9"/>
      <c r="Q11" s="9"/>
      <c r="R11" s="9"/>
      <c r="S11" s="9"/>
      <c r="T11" s="5"/>
      <c r="U11" s="15"/>
      <c r="V11" s="15"/>
      <c r="W11" s="15"/>
      <c r="X11" s="16"/>
      <c r="Y11" s="16"/>
      <c r="Z11" s="16"/>
      <c r="AA11" s="15"/>
      <c r="AB11" s="15"/>
      <c r="AC11" s="17"/>
      <c r="AD11" s="17"/>
      <c r="AE11" s="15"/>
      <c r="AF11" s="15"/>
      <c r="AG11" s="18"/>
      <c r="AH11" s="7"/>
      <c r="AI11" s="9"/>
      <c r="AJ11" s="15"/>
      <c r="AK11" s="9"/>
      <c r="AL11" s="6"/>
      <c r="AM11" s="15"/>
      <c r="AN11" s="16"/>
      <c r="AO11" s="15"/>
      <c r="AP11" s="16"/>
      <c r="AQ11" s="26"/>
      <c r="AR11" s="16"/>
      <c r="AS11" s="8"/>
    </row>
    <row r="12" spans="1:45" ht="17" customHeight="1" x14ac:dyDescent="0.5">
      <c r="A12" s="5"/>
      <c r="B12" s="6"/>
      <c r="C12" s="7"/>
      <c r="D12" s="8"/>
      <c r="E12" s="9"/>
      <c r="F12" s="10"/>
      <c r="G12" s="9"/>
      <c r="H12" s="7"/>
      <c r="I12" s="5"/>
      <c r="J12" s="11"/>
      <c r="K12" s="12"/>
      <c r="L12" s="13"/>
      <c r="M12" s="14"/>
      <c r="N12" s="14"/>
      <c r="O12" s="9"/>
      <c r="P12" s="9"/>
      <c r="Q12" s="9"/>
      <c r="R12" s="9"/>
      <c r="S12" s="9"/>
      <c r="T12" s="5"/>
      <c r="U12" s="15"/>
      <c r="V12" s="15"/>
      <c r="W12" s="15"/>
      <c r="X12" s="16"/>
      <c r="Y12" s="16"/>
      <c r="Z12" s="16"/>
      <c r="AA12" s="15"/>
      <c r="AB12" s="15"/>
      <c r="AC12" s="17"/>
      <c r="AD12" s="17"/>
      <c r="AE12" s="15"/>
      <c r="AF12" s="15"/>
      <c r="AG12" s="18"/>
      <c r="AH12" s="7"/>
      <c r="AI12" s="9"/>
      <c r="AJ12" s="15"/>
      <c r="AK12" s="9"/>
      <c r="AL12" s="6"/>
      <c r="AM12" s="15"/>
      <c r="AN12" s="16"/>
      <c r="AO12" s="15"/>
      <c r="AP12" s="16"/>
      <c r="AQ12" s="26"/>
      <c r="AR12" s="16"/>
      <c r="AS12" s="8"/>
    </row>
    <row r="13" spans="1:45" ht="17" customHeight="1" x14ac:dyDescent="0.5">
      <c r="A13" s="5"/>
      <c r="B13" s="6"/>
      <c r="C13" s="7"/>
      <c r="D13" s="8"/>
      <c r="E13" s="9"/>
      <c r="F13" s="10"/>
      <c r="G13" s="9"/>
      <c r="H13" s="7"/>
      <c r="I13" s="5"/>
      <c r="J13" s="11"/>
      <c r="K13" s="12"/>
      <c r="L13" s="13"/>
      <c r="M13" s="14"/>
      <c r="N13" s="14"/>
      <c r="O13" s="9"/>
      <c r="P13" s="9"/>
      <c r="Q13" s="9"/>
      <c r="R13" s="9"/>
      <c r="S13" s="9"/>
      <c r="T13" s="5"/>
      <c r="U13" s="15"/>
      <c r="V13" s="15"/>
      <c r="W13" s="15"/>
      <c r="X13" s="16"/>
      <c r="Y13" s="16"/>
      <c r="Z13" s="16"/>
      <c r="AA13" s="15"/>
      <c r="AB13" s="15"/>
      <c r="AC13" s="17"/>
      <c r="AD13" s="17"/>
      <c r="AE13" s="15"/>
      <c r="AF13" s="15"/>
      <c r="AG13" s="18"/>
      <c r="AH13" s="7"/>
      <c r="AI13" s="9"/>
      <c r="AJ13" s="15"/>
      <c r="AK13" s="9"/>
      <c r="AL13" s="6"/>
      <c r="AM13" s="15"/>
      <c r="AN13" s="16"/>
      <c r="AO13" s="15"/>
      <c r="AP13" s="16"/>
      <c r="AQ13" s="26"/>
      <c r="AR13" s="16"/>
      <c r="AS13" s="8"/>
    </row>
    <row r="14" spans="1:45" ht="17" customHeight="1" x14ac:dyDescent="0.5">
      <c r="A14" s="5"/>
      <c r="B14" s="6"/>
      <c r="C14" s="7"/>
      <c r="D14" s="8"/>
      <c r="E14" s="9"/>
      <c r="F14" s="10"/>
      <c r="G14" s="9"/>
      <c r="H14" s="7"/>
      <c r="I14" s="5"/>
      <c r="J14" s="11"/>
      <c r="K14" s="12"/>
      <c r="L14" s="13"/>
      <c r="M14" s="14"/>
      <c r="N14" s="14"/>
      <c r="O14" s="9"/>
      <c r="P14" s="9"/>
      <c r="Q14" s="9"/>
      <c r="R14" s="9"/>
      <c r="S14" s="9"/>
      <c r="T14" s="5"/>
      <c r="U14" s="15"/>
      <c r="V14" s="15"/>
      <c r="W14" s="15"/>
      <c r="X14" s="16"/>
      <c r="Y14" s="16"/>
      <c r="Z14" s="16"/>
      <c r="AA14" s="15"/>
      <c r="AB14" s="15"/>
      <c r="AC14" s="17"/>
      <c r="AD14" s="17"/>
      <c r="AE14" s="15"/>
      <c r="AF14" s="15"/>
      <c r="AG14" s="18"/>
      <c r="AH14" s="7"/>
      <c r="AI14" s="9"/>
      <c r="AJ14" s="15"/>
      <c r="AK14" s="9"/>
      <c r="AL14" s="6"/>
      <c r="AM14" s="15"/>
      <c r="AN14" s="16"/>
      <c r="AO14" s="15"/>
      <c r="AP14" s="16"/>
      <c r="AQ14" s="26"/>
      <c r="AR14" s="16"/>
      <c r="AS14" s="8"/>
    </row>
    <row r="15" spans="1:45" ht="17" customHeight="1" x14ac:dyDescent="0.5">
      <c r="A15" s="5"/>
      <c r="B15" s="6"/>
      <c r="C15" s="7"/>
      <c r="D15" s="8"/>
      <c r="E15" s="9"/>
      <c r="F15" s="10"/>
      <c r="G15" s="9"/>
      <c r="H15" s="7"/>
      <c r="I15" s="5"/>
      <c r="J15" s="11"/>
      <c r="K15" s="12"/>
      <c r="L15" s="13"/>
      <c r="M15" s="14"/>
      <c r="N15" s="14"/>
      <c r="O15" s="9"/>
      <c r="P15" s="9"/>
      <c r="Q15" s="9"/>
      <c r="R15" s="9"/>
      <c r="S15" s="9"/>
      <c r="T15" s="5"/>
      <c r="U15" s="15"/>
      <c r="V15" s="15"/>
      <c r="W15" s="15"/>
      <c r="X15" s="16"/>
      <c r="Y15" s="16"/>
      <c r="Z15" s="16"/>
      <c r="AA15" s="15"/>
      <c r="AB15" s="15"/>
      <c r="AC15" s="17"/>
      <c r="AD15" s="17"/>
      <c r="AE15" s="15"/>
      <c r="AF15" s="15"/>
      <c r="AG15" s="18"/>
      <c r="AH15" s="7"/>
      <c r="AI15" s="9"/>
      <c r="AJ15" s="15"/>
      <c r="AK15" s="9"/>
      <c r="AL15" s="6"/>
      <c r="AM15" s="15"/>
      <c r="AN15" s="16"/>
      <c r="AO15" s="15"/>
      <c r="AP15" s="16"/>
      <c r="AQ15" s="26"/>
      <c r="AR15" s="16"/>
      <c r="AS15" s="8"/>
    </row>
    <row r="16" spans="1:45" ht="17" customHeight="1" x14ac:dyDescent="0.5">
      <c r="A16" s="5"/>
      <c r="B16" s="6"/>
      <c r="C16" s="7"/>
      <c r="D16" s="8"/>
      <c r="E16" s="9"/>
      <c r="F16" s="10"/>
      <c r="G16" s="9"/>
      <c r="H16" s="7"/>
      <c r="I16" s="5"/>
      <c r="J16" s="11"/>
      <c r="K16" s="12"/>
      <c r="L16" s="13"/>
      <c r="M16" s="14"/>
      <c r="N16" s="14"/>
      <c r="O16" s="9"/>
      <c r="P16" s="9"/>
      <c r="Q16" s="9"/>
      <c r="R16" s="9"/>
      <c r="S16" s="9"/>
      <c r="T16" s="5"/>
      <c r="U16" s="15"/>
      <c r="V16" s="15"/>
      <c r="W16" s="15"/>
      <c r="X16" s="16"/>
      <c r="Y16" s="16"/>
      <c r="Z16" s="16"/>
      <c r="AA16" s="15"/>
      <c r="AB16" s="15"/>
      <c r="AC16" s="17"/>
      <c r="AD16" s="17"/>
      <c r="AE16" s="15"/>
      <c r="AF16" s="15"/>
      <c r="AG16" s="18"/>
      <c r="AH16" s="7"/>
      <c r="AI16" s="9"/>
      <c r="AJ16" s="15"/>
      <c r="AK16" s="9"/>
      <c r="AL16" s="6"/>
      <c r="AM16" s="15"/>
      <c r="AN16" s="16"/>
      <c r="AO16" s="15"/>
      <c r="AP16" s="16"/>
      <c r="AQ16" s="26"/>
      <c r="AR16" s="16"/>
      <c r="AS16" s="8"/>
    </row>
    <row r="17" spans="1:45" ht="17" customHeight="1" x14ac:dyDescent="0.5">
      <c r="A17" s="5"/>
      <c r="B17" s="6"/>
      <c r="C17" s="7"/>
      <c r="D17" s="8"/>
      <c r="E17" s="9"/>
      <c r="F17" s="10"/>
      <c r="G17" s="9"/>
      <c r="H17" s="7"/>
      <c r="I17" s="5"/>
      <c r="J17" s="11"/>
      <c r="K17" s="12"/>
      <c r="L17" s="13"/>
      <c r="M17" s="14"/>
      <c r="N17" s="14"/>
      <c r="O17" s="9"/>
      <c r="P17" s="9"/>
      <c r="Q17" s="9"/>
      <c r="R17" s="9"/>
      <c r="S17" s="9"/>
      <c r="T17" s="5"/>
      <c r="U17" s="15"/>
      <c r="V17" s="15"/>
      <c r="W17" s="15"/>
      <c r="X17" s="16"/>
      <c r="Y17" s="16"/>
      <c r="Z17" s="16"/>
      <c r="AA17" s="15"/>
      <c r="AB17" s="15"/>
      <c r="AC17" s="17"/>
      <c r="AD17" s="17"/>
      <c r="AE17" s="15"/>
      <c r="AF17" s="15"/>
      <c r="AG17" s="18"/>
      <c r="AH17" s="7"/>
      <c r="AI17" s="9"/>
      <c r="AJ17" s="15"/>
      <c r="AK17" s="9"/>
      <c r="AL17" s="6"/>
      <c r="AM17" s="15"/>
      <c r="AN17" s="16"/>
      <c r="AO17" s="15"/>
      <c r="AP17" s="16"/>
      <c r="AQ17" s="26"/>
      <c r="AR17" s="16"/>
      <c r="AS17" s="8"/>
    </row>
    <row r="18" spans="1:45" ht="17" customHeight="1" x14ac:dyDescent="0.5">
      <c r="A18" s="5"/>
      <c r="B18" s="6"/>
      <c r="C18" s="7"/>
      <c r="D18" s="8"/>
      <c r="E18" s="9"/>
      <c r="F18" s="10"/>
      <c r="G18" s="9"/>
      <c r="H18" s="7"/>
      <c r="I18" s="5"/>
      <c r="J18" s="11"/>
      <c r="K18" s="12"/>
      <c r="L18" s="13"/>
      <c r="M18" s="14"/>
      <c r="N18" s="14"/>
      <c r="O18" s="9"/>
      <c r="P18" s="9"/>
      <c r="Q18" s="9"/>
      <c r="R18" s="9"/>
      <c r="S18" s="9"/>
      <c r="T18" s="5"/>
      <c r="U18" s="15"/>
      <c r="V18" s="15"/>
      <c r="W18" s="15"/>
      <c r="X18" s="16"/>
      <c r="Y18" s="16"/>
      <c r="Z18" s="16"/>
      <c r="AA18" s="15"/>
      <c r="AB18" s="15"/>
      <c r="AC18" s="17"/>
      <c r="AD18" s="17"/>
      <c r="AE18" s="15"/>
      <c r="AF18" s="15"/>
      <c r="AG18" s="18"/>
      <c r="AH18" s="7"/>
      <c r="AI18" s="9"/>
      <c r="AJ18" s="15"/>
      <c r="AK18" s="9"/>
      <c r="AL18" s="6"/>
      <c r="AM18" s="15"/>
      <c r="AN18" s="16"/>
      <c r="AO18" s="15"/>
      <c r="AP18" s="16"/>
      <c r="AQ18" s="26"/>
      <c r="AR18" s="16"/>
      <c r="AS18" s="8"/>
    </row>
    <row r="19" spans="1:45" ht="17" customHeight="1" x14ac:dyDescent="0.5">
      <c r="A19" s="5"/>
      <c r="B19" s="6"/>
      <c r="C19" s="7"/>
      <c r="D19" s="8"/>
      <c r="E19" s="9"/>
      <c r="F19" s="10"/>
      <c r="G19" s="9"/>
      <c r="H19" s="7"/>
      <c r="I19" s="5"/>
      <c r="J19" s="11"/>
      <c r="K19" s="12"/>
      <c r="L19" s="13"/>
      <c r="M19" s="14"/>
      <c r="N19" s="14"/>
      <c r="O19" s="9"/>
      <c r="P19" s="9"/>
      <c r="Q19" s="9"/>
      <c r="R19" s="9"/>
      <c r="S19" s="9"/>
      <c r="T19" s="5"/>
      <c r="U19" s="15"/>
      <c r="V19" s="15"/>
      <c r="W19" s="15"/>
      <c r="X19" s="16"/>
      <c r="Y19" s="16"/>
      <c r="Z19" s="16"/>
      <c r="AA19" s="15"/>
      <c r="AB19" s="15"/>
      <c r="AC19" s="17"/>
      <c r="AD19" s="17"/>
      <c r="AE19" s="15"/>
      <c r="AF19" s="15"/>
      <c r="AG19" s="18"/>
      <c r="AH19" s="7"/>
      <c r="AI19" s="9"/>
      <c r="AJ19" s="15"/>
      <c r="AK19" s="9"/>
      <c r="AL19" s="6"/>
      <c r="AM19" s="15"/>
      <c r="AN19" s="16"/>
      <c r="AO19" s="15"/>
      <c r="AP19" s="16"/>
      <c r="AQ19" s="26"/>
      <c r="AR19" s="16"/>
      <c r="AS19" s="8"/>
    </row>
    <row r="20" spans="1:45" ht="17" customHeight="1" x14ac:dyDescent="0.5">
      <c r="A20" s="5"/>
      <c r="B20" s="6"/>
      <c r="C20" s="7"/>
      <c r="D20" s="8"/>
      <c r="E20" s="9"/>
      <c r="F20" s="10"/>
      <c r="G20" s="9"/>
      <c r="H20" s="7"/>
      <c r="I20" s="5"/>
      <c r="J20" s="11"/>
      <c r="K20" s="12"/>
      <c r="L20" s="13"/>
      <c r="M20" s="14"/>
      <c r="N20" s="14"/>
      <c r="O20" s="9"/>
      <c r="P20" s="9"/>
      <c r="Q20" s="9"/>
      <c r="R20" s="9"/>
      <c r="S20" s="9"/>
      <c r="T20" s="5"/>
      <c r="U20" s="15"/>
      <c r="V20" s="15"/>
      <c r="W20" s="15"/>
      <c r="X20" s="16"/>
      <c r="Y20" s="16"/>
      <c r="Z20" s="16"/>
      <c r="AA20" s="15"/>
      <c r="AB20" s="15"/>
      <c r="AC20" s="17"/>
      <c r="AD20" s="17"/>
      <c r="AE20" s="15"/>
      <c r="AF20" s="15"/>
      <c r="AG20" s="18"/>
      <c r="AH20" s="7"/>
      <c r="AI20" s="9"/>
      <c r="AJ20" s="15"/>
      <c r="AK20" s="9"/>
      <c r="AL20" s="6"/>
      <c r="AM20" s="15"/>
      <c r="AN20" s="16"/>
      <c r="AO20" s="15"/>
      <c r="AP20" s="16"/>
      <c r="AQ20" s="26"/>
      <c r="AR20" s="16"/>
      <c r="AS20" s="8"/>
    </row>
    <row r="21" spans="1:45" ht="17" customHeight="1" x14ac:dyDescent="0.5">
      <c r="A21" s="5"/>
      <c r="B21" s="6"/>
      <c r="C21" s="7"/>
      <c r="D21" s="8"/>
      <c r="E21" s="9"/>
      <c r="F21" s="10"/>
      <c r="G21" s="9"/>
      <c r="H21" s="7"/>
      <c r="I21" s="5"/>
      <c r="J21" s="11"/>
      <c r="K21" s="12"/>
      <c r="L21" s="13"/>
      <c r="M21" s="14"/>
      <c r="N21" s="14"/>
      <c r="O21" s="9"/>
      <c r="P21" s="9"/>
      <c r="Q21" s="9"/>
      <c r="R21" s="9"/>
      <c r="S21" s="9"/>
      <c r="T21" s="5"/>
      <c r="U21" s="15"/>
      <c r="V21" s="15"/>
      <c r="W21" s="15"/>
      <c r="X21" s="16"/>
      <c r="Y21" s="16"/>
      <c r="Z21" s="16"/>
      <c r="AA21" s="15"/>
      <c r="AB21" s="15"/>
      <c r="AC21" s="17"/>
      <c r="AD21" s="17"/>
      <c r="AE21" s="15"/>
      <c r="AF21" s="15"/>
      <c r="AG21" s="18"/>
      <c r="AH21" s="7"/>
      <c r="AI21" s="9"/>
      <c r="AJ21" s="15"/>
      <c r="AK21" s="9"/>
      <c r="AL21" s="6"/>
      <c r="AM21" s="15"/>
      <c r="AN21" s="16"/>
      <c r="AO21" s="15"/>
      <c r="AP21" s="16"/>
      <c r="AQ21" s="26"/>
      <c r="AR21" s="16"/>
      <c r="AS21" s="8"/>
    </row>
    <row r="22" spans="1:45" ht="17" customHeight="1" x14ac:dyDescent="0.5">
      <c r="A22" s="5"/>
      <c r="B22" s="6"/>
      <c r="C22" s="7"/>
      <c r="D22" s="8"/>
      <c r="E22" s="9"/>
      <c r="F22" s="10"/>
      <c r="G22" s="9"/>
      <c r="H22" s="7"/>
      <c r="I22" s="5"/>
      <c r="J22" s="11"/>
      <c r="K22" s="12"/>
      <c r="L22" s="13"/>
      <c r="M22" s="14"/>
      <c r="N22" s="14"/>
      <c r="O22" s="9"/>
      <c r="P22" s="9"/>
      <c r="Q22" s="9"/>
      <c r="R22" s="9"/>
      <c r="S22" s="9"/>
      <c r="T22" s="5"/>
      <c r="U22" s="15"/>
      <c r="V22" s="15"/>
      <c r="W22" s="15"/>
      <c r="X22" s="16"/>
      <c r="Y22" s="16"/>
      <c r="Z22" s="16"/>
      <c r="AA22" s="15"/>
      <c r="AB22" s="15"/>
      <c r="AC22" s="17"/>
      <c r="AD22" s="17"/>
      <c r="AE22" s="15"/>
      <c r="AF22" s="15"/>
      <c r="AG22" s="18"/>
      <c r="AH22" s="7"/>
      <c r="AI22" s="9"/>
      <c r="AJ22" s="15"/>
      <c r="AK22" s="9"/>
      <c r="AL22" s="6"/>
      <c r="AM22" s="15"/>
      <c r="AN22" s="16"/>
      <c r="AO22" s="15"/>
      <c r="AP22" s="16"/>
      <c r="AQ22" s="26"/>
      <c r="AR22" s="16"/>
      <c r="AS22" s="8"/>
    </row>
    <row r="23" spans="1:45" ht="17" customHeight="1" x14ac:dyDescent="0.5">
      <c r="A23" s="5"/>
      <c r="B23" s="6"/>
      <c r="C23" s="7"/>
      <c r="D23" s="8"/>
      <c r="E23" s="9"/>
      <c r="F23" s="10"/>
      <c r="G23" s="9"/>
      <c r="H23" s="7"/>
      <c r="I23" s="5"/>
      <c r="J23" s="11"/>
      <c r="K23" s="12"/>
      <c r="L23" s="13"/>
      <c r="M23" s="14"/>
      <c r="N23" s="14"/>
      <c r="O23" s="9"/>
      <c r="P23" s="9"/>
      <c r="Q23" s="9"/>
      <c r="R23" s="9"/>
      <c r="S23" s="9"/>
      <c r="T23" s="5"/>
      <c r="U23" s="15"/>
      <c r="V23" s="15"/>
      <c r="W23" s="15"/>
      <c r="X23" s="16"/>
      <c r="Y23" s="16"/>
      <c r="Z23" s="16"/>
      <c r="AA23" s="15"/>
      <c r="AB23" s="15"/>
      <c r="AC23" s="17"/>
      <c r="AD23" s="17"/>
      <c r="AE23" s="15"/>
      <c r="AF23" s="15"/>
      <c r="AG23" s="18"/>
      <c r="AH23" s="7"/>
      <c r="AI23" s="9"/>
      <c r="AJ23" s="15"/>
      <c r="AK23" s="9"/>
      <c r="AL23" s="6"/>
      <c r="AM23" s="15"/>
      <c r="AN23" s="16"/>
      <c r="AO23" s="15"/>
      <c r="AP23" s="16"/>
      <c r="AQ23" s="26"/>
      <c r="AR23" s="16"/>
      <c r="AS23" s="8"/>
    </row>
    <row r="24" spans="1:45" ht="17" customHeight="1" x14ac:dyDescent="0.5">
      <c r="A24" s="5"/>
      <c r="B24" s="6"/>
      <c r="C24" s="7"/>
      <c r="D24" s="8"/>
      <c r="E24" s="9"/>
      <c r="F24" s="10"/>
      <c r="G24" s="9"/>
      <c r="H24" s="7"/>
      <c r="I24" s="5"/>
      <c r="J24" s="11"/>
      <c r="K24" s="12"/>
      <c r="L24" s="13"/>
      <c r="M24" s="14"/>
      <c r="N24" s="14"/>
      <c r="O24" s="9"/>
      <c r="P24" s="9"/>
      <c r="Q24" s="9"/>
      <c r="R24" s="9"/>
      <c r="S24" s="9"/>
      <c r="T24" s="5"/>
      <c r="U24" s="15"/>
      <c r="V24" s="15"/>
      <c r="W24" s="15"/>
      <c r="X24" s="16"/>
      <c r="Y24" s="16"/>
      <c r="Z24" s="16"/>
      <c r="AA24" s="15"/>
      <c r="AB24" s="15"/>
      <c r="AC24" s="17"/>
      <c r="AD24" s="17"/>
      <c r="AE24" s="15"/>
      <c r="AF24" s="15"/>
      <c r="AG24" s="18"/>
      <c r="AH24" s="7"/>
      <c r="AI24" s="9"/>
      <c r="AJ24" s="15"/>
      <c r="AK24" s="9"/>
      <c r="AL24" s="6"/>
      <c r="AM24" s="15"/>
      <c r="AN24" s="16"/>
      <c r="AO24" s="15"/>
      <c r="AP24" s="16"/>
      <c r="AQ24" s="26"/>
      <c r="AR24" s="16"/>
      <c r="AS24" s="8"/>
    </row>
    <row r="25" spans="1:45" ht="17" customHeight="1" x14ac:dyDescent="0.5">
      <c r="A25" s="5"/>
      <c r="B25" s="6"/>
      <c r="C25" s="7"/>
      <c r="D25" s="8"/>
      <c r="E25" s="9"/>
      <c r="F25" s="10"/>
      <c r="G25" s="9"/>
      <c r="H25" s="7"/>
      <c r="I25" s="5"/>
      <c r="J25" s="11"/>
      <c r="K25" s="12"/>
      <c r="L25" s="13"/>
      <c r="M25" s="14"/>
      <c r="N25" s="14"/>
      <c r="O25" s="9"/>
      <c r="P25" s="9"/>
      <c r="Q25" s="9"/>
      <c r="R25" s="9"/>
      <c r="S25" s="9"/>
      <c r="T25" s="5"/>
      <c r="U25" s="15"/>
      <c r="V25" s="15"/>
      <c r="W25" s="15"/>
      <c r="X25" s="16"/>
      <c r="Y25" s="16"/>
      <c r="Z25" s="16"/>
      <c r="AA25" s="15"/>
      <c r="AB25" s="15"/>
      <c r="AC25" s="17"/>
      <c r="AD25" s="17"/>
      <c r="AE25" s="15"/>
      <c r="AF25" s="15"/>
      <c r="AG25" s="18"/>
      <c r="AH25" s="7"/>
      <c r="AI25" s="9"/>
      <c r="AJ25" s="15"/>
      <c r="AK25" s="9"/>
      <c r="AL25" s="6"/>
      <c r="AM25" s="15"/>
      <c r="AN25" s="16"/>
      <c r="AO25" s="15"/>
      <c r="AP25" s="16"/>
      <c r="AQ25" s="26"/>
      <c r="AR25" s="16"/>
      <c r="AS25" s="8"/>
    </row>
    <row r="26" spans="1:45" ht="17" customHeight="1" x14ac:dyDescent="0.5">
      <c r="A26" s="5"/>
      <c r="B26" s="6"/>
      <c r="C26" s="7"/>
      <c r="D26" s="8"/>
      <c r="E26" s="9"/>
      <c r="F26" s="10"/>
      <c r="G26" s="9"/>
      <c r="H26" s="7"/>
      <c r="I26" s="5"/>
      <c r="J26" s="11"/>
      <c r="K26" s="12"/>
      <c r="L26" s="13"/>
      <c r="M26" s="14"/>
      <c r="N26" s="14"/>
      <c r="O26" s="9"/>
      <c r="P26" s="9"/>
      <c r="Q26" s="9"/>
      <c r="R26" s="9"/>
      <c r="S26" s="9"/>
      <c r="T26" s="5"/>
      <c r="U26" s="15"/>
      <c r="V26" s="15"/>
      <c r="W26" s="15"/>
      <c r="X26" s="16"/>
      <c r="Y26" s="16"/>
      <c r="Z26" s="16"/>
      <c r="AA26" s="15"/>
      <c r="AB26" s="15"/>
      <c r="AC26" s="17"/>
      <c r="AD26" s="17"/>
      <c r="AE26" s="15"/>
      <c r="AF26" s="15"/>
      <c r="AG26" s="18"/>
      <c r="AH26" s="7"/>
      <c r="AI26" s="9"/>
      <c r="AJ26" s="15"/>
      <c r="AK26" s="9"/>
      <c r="AL26" s="6"/>
      <c r="AM26" s="15"/>
      <c r="AN26" s="16"/>
      <c r="AO26" s="15"/>
      <c r="AP26" s="16"/>
      <c r="AQ26" s="26"/>
      <c r="AR26" s="16"/>
      <c r="AS26" s="8"/>
    </row>
    <row r="27" spans="1:45" ht="17" customHeight="1" x14ac:dyDescent="0.5">
      <c r="A27" s="5"/>
      <c r="B27" s="6"/>
      <c r="C27" s="7"/>
      <c r="D27" s="8"/>
      <c r="E27" s="9"/>
      <c r="F27" s="10"/>
      <c r="G27" s="9"/>
      <c r="H27" s="7"/>
      <c r="I27" s="5"/>
      <c r="J27" s="11"/>
      <c r="K27" s="12"/>
      <c r="L27" s="13"/>
      <c r="M27" s="14"/>
      <c r="N27" s="14"/>
      <c r="O27" s="9"/>
      <c r="P27" s="9"/>
      <c r="Q27" s="9"/>
      <c r="R27" s="9"/>
      <c r="S27" s="9"/>
      <c r="T27" s="5"/>
      <c r="U27" s="15"/>
      <c r="V27" s="15"/>
      <c r="W27" s="15"/>
      <c r="X27" s="16"/>
      <c r="Y27" s="16"/>
      <c r="Z27" s="16"/>
      <c r="AA27" s="15"/>
      <c r="AB27" s="15"/>
      <c r="AC27" s="17"/>
      <c r="AD27" s="17"/>
      <c r="AE27" s="15"/>
      <c r="AF27" s="15"/>
      <c r="AG27" s="18"/>
      <c r="AH27" s="7"/>
      <c r="AI27" s="9"/>
      <c r="AJ27" s="15"/>
      <c r="AK27" s="9"/>
      <c r="AL27" s="6"/>
      <c r="AM27" s="15"/>
      <c r="AN27" s="16"/>
      <c r="AO27" s="15"/>
      <c r="AP27" s="16"/>
      <c r="AQ27" s="26"/>
      <c r="AR27" s="16"/>
      <c r="AS27" s="8"/>
    </row>
    <row r="28" spans="1:45" ht="17" customHeight="1" x14ac:dyDescent="0.5">
      <c r="A28" s="5"/>
      <c r="B28" s="6"/>
      <c r="C28" s="7"/>
      <c r="D28" s="8"/>
      <c r="E28" s="9"/>
      <c r="F28" s="10"/>
      <c r="G28" s="9"/>
      <c r="H28" s="7"/>
      <c r="I28" s="5"/>
      <c r="J28" s="11"/>
      <c r="K28" s="12"/>
      <c r="L28" s="13"/>
      <c r="M28" s="14"/>
      <c r="N28" s="14"/>
      <c r="O28" s="9"/>
      <c r="P28" s="9"/>
      <c r="Q28" s="9"/>
      <c r="R28" s="9"/>
      <c r="S28" s="9"/>
      <c r="T28" s="5"/>
      <c r="U28" s="15"/>
      <c r="V28" s="15"/>
      <c r="W28" s="15"/>
      <c r="X28" s="16"/>
      <c r="Y28" s="16"/>
      <c r="Z28" s="16"/>
      <c r="AA28" s="15"/>
      <c r="AB28" s="15"/>
      <c r="AC28" s="17"/>
      <c r="AD28" s="17"/>
      <c r="AE28" s="15"/>
      <c r="AF28" s="15"/>
      <c r="AG28" s="18"/>
      <c r="AH28" s="7"/>
      <c r="AI28" s="9"/>
      <c r="AJ28" s="15"/>
      <c r="AK28" s="9"/>
      <c r="AL28" s="6"/>
      <c r="AM28" s="15"/>
      <c r="AN28" s="16"/>
      <c r="AO28" s="15"/>
      <c r="AP28" s="16"/>
      <c r="AQ28" s="26"/>
      <c r="AR28" s="16"/>
      <c r="AS28" s="8"/>
    </row>
    <row r="29" spans="1:45" ht="17" customHeight="1" x14ac:dyDescent="0.5">
      <c r="A29" s="5"/>
      <c r="B29" s="6"/>
      <c r="C29" s="7"/>
      <c r="D29" s="8"/>
      <c r="E29" s="9"/>
      <c r="F29" s="10"/>
      <c r="G29" s="9"/>
      <c r="H29" s="7"/>
      <c r="I29" s="5"/>
      <c r="J29" s="11"/>
      <c r="K29" s="12"/>
      <c r="L29" s="13"/>
      <c r="M29" s="14"/>
      <c r="N29" s="14"/>
      <c r="O29" s="9"/>
      <c r="P29" s="9"/>
      <c r="Q29" s="9"/>
      <c r="R29" s="9"/>
      <c r="S29" s="9"/>
      <c r="T29" s="5"/>
      <c r="U29" s="15"/>
      <c r="V29" s="15"/>
      <c r="W29" s="15"/>
      <c r="X29" s="16"/>
      <c r="Y29" s="16"/>
      <c r="Z29" s="16"/>
      <c r="AA29" s="15"/>
      <c r="AB29" s="15"/>
      <c r="AC29" s="17"/>
      <c r="AD29" s="17"/>
      <c r="AE29" s="15"/>
      <c r="AF29" s="15"/>
      <c r="AG29" s="18"/>
      <c r="AH29" s="7"/>
      <c r="AI29" s="9"/>
      <c r="AJ29" s="15"/>
      <c r="AK29" s="9"/>
      <c r="AL29" s="6"/>
      <c r="AM29" s="15"/>
      <c r="AN29" s="16"/>
      <c r="AO29" s="15"/>
      <c r="AP29" s="16"/>
      <c r="AQ29" s="26"/>
      <c r="AR29" s="16"/>
      <c r="AS29" s="8"/>
    </row>
    <row r="30" spans="1:45" ht="17" customHeight="1" x14ac:dyDescent="0.5">
      <c r="A30" s="5"/>
      <c r="B30" s="6"/>
      <c r="C30" s="7"/>
      <c r="D30" s="8"/>
      <c r="E30" s="9"/>
      <c r="F30" s="10"/>
      <c r="G30" s="9"/>
      <c r="H30" s="7"/>
      <c r="I30" s="5"/>
      <c r="J30" s="11"/>
      <c r="K30" s="12"/>
      <c r="L30" s="13"/>
      <c r="M30" s="14"/>
      <c r="N30" s="14"/>
      <c r="O30" s="9"/>
      <c r="P30" s="9"/>
      <c r="Q30" s="9"/>
      <c r="R30" s="9"/>
      <c r="S30" s="9"/>
      <c r="T30" s="5"/>
      <c r="U30" s="15"/>
      <c r="V30" s="15"/>
      <c r="W30" s="15"/>
      <c r="X30" s="16"/>
      <c r="Y30" s="16"/>
      <c r="Z30" s="16"/>
      <c r="AA30" s="15"/>
      <c r="AB30" s="15"/>
      <c r="AC30" s="17"/>
      <c r="AD30" s="17"/>
      <c r="AE30" s="15"/>
      <c r="AF30" s="15"/>
      <c r="AG30" s="18"/>
      <c r="AH30" s="7"/>
      <c r="AI30" s="9"/>
      <c r="AJ30" s="15"/>
      <c r="AK30" s="9"/>
      <c r="AL30" s="6"/>
      <c r="AM30" s="15"/>
      <c r="AN30" s="16"/>
      <c r="AO30" s="15"/>
      <c r="AP30" s="16"/>
      <c r="AQ30" s="26"/>
      <c r="AR30" s="16"/>
      <c r="AS30" s="8"/>
    </row>
    <row r="31" spans="1:45" ht="17" customHeight="1" x14ac:dyDescent="0.5">
      <c r="A31" s="5"/>
      <c r="B31" s="6"/>
      <c r="C31" s="7"/>
      <c r="D31" s="8"/>
      <c r="E31" s="9"/>
      <c r="F31" s="10"/>
      <c r="G31" s="9"/>
      <c r="H31" s="7"/>
      <c r="I31" s="5"/>
      <c r="J31" s="11"/>
      <c r="K31" s="12"/>
      <c r="L31" s="13"/>
      <c r="M31" s="14"/>
      <c r="N31" s="14"/>
      <c r="O31" s="9"/>
      <c r="P31" s="9"/>
      <c r="Q31" s="9"/>
      <c r="R31" s="9"/>
      <c r="S31" s="9"/>
      <c r="T31" s="5"/>
      <c r="U31" s="15"/>
      <c r="V31" s="15"/>
      <c r="W31" s="15"/>
      <c r="X31" s="16"/>
      <c r="Y31" s="16"/>
      <c r="Z31" s="16"/>
      <c r="AA31" s="15"/>
      <c r="AB31" s="15"/>
      <c r="AC31" s="17"/>
      <c r="AD31" s="17"/>
      <c r="AE31" s="15"/>
      <c r="AF31" s="15"/>
      <c r="AG31" s="18"/>
      <c r="AH31" s="7"/>
      <c r="AI31" s="9"/>
      <c r="AJ31" s="15"/>
      <c r="AK31" s="9"/>
      <c r="AL31" s="6"/>
      <c r="AM31" s="15"/>
      <c r="AN31" s="16"/>
      <c r="AO31" s="15"/>
      <c r="AP31" s="16"/>
      <c r="AQ31" s="26"/>
      <c r="AR31" s="16"/>
      <c r="AS31" s="8"/>
    </row>
    <row r="32" spans="1:45" ht="17" customHeight="1" x14ac:dyDescent="0.5">
      <c r="A32" s="5"/>
      <c r="B32" s="6"/>
      <c r="C32" s="7"/>
      <c r="D32" s="8"/>
      <c r="E32" s="9"/>
      <c r="F32" s="10"/>
      <c r="G32" s="9"/>
      <c r="H32" s="7"/>
      <c r="I32" s="5"/>
      <c r="J32" s="11"/>
      <c r="K32" s="12"/>
      <c r="L32" s="13"/>
      <c r="M32" s="14"/>
      <c r="N32" s="14"/>
      <c r="O32" s="9"/>
      <c r="P32" s="9"/>
      <c r="Q32" s="9"/>
      <c r="R32" s="9"/>
      <c r="S32" s="9"/>
      <c r="T32" s="5"/>
      <c r="U32" s="15"/>
      <c r="V32" s="15"/>
      <c r="W32" s="15"/>
      <c r="X32" s="16"/>
      <c r="Y32" s="16"/>
      <c r="Z32" s="16"/>
      <c r="AA32" s="15"/>
      <c r="AB32" s="15"/>
      <c r="AC32" s="17"/>
      <c r="AD32" s="17"/>
      <c r="AE32" s="15"/>
      <c r="AF32" s="15"/>
      <c r="AG32" s="18"/>
      <c r="AH32" s="7"/>
      <c r="AI32" s="9"/>
      <c r="AJ32" s="15"/>
      <c r="AK32" s="9"/>
      <c r="AL32" s="6"/>
      <c r="AM32" s="15"/>
      <c r="AN32" s="16"/>
      <c r="AO32" s="15"/>
      <c r="AP32" s="16"/>
      <c r="AQ32" s="26"/>
      <c r="AR32" s="16"/>
      <c r="AS32" s="8"/>
    </row>
    <row r="33" spans="1:45" ht="17" customHeight="1" x14ac:dyDescent="0.5">
      <c r="A33" s="5"/>
      <c r="B33" s="6"/>
      <c r="C33" s="7"/>
      <c r="D33" s="8"/>
      <c r="E33" s="9"/>
      <c r="F33" s="10"/>
      <c r="G33" s="9"/>
      <c r="H33" s="7"/>
      <c r="I33" s="5"/>
      <c r="J33" s="11"/>
      <c r="K33" s="12"/>
      <c r="L33" s="13"/>
      <c r="M33" s="14"/>
      <c r="N33" s="14"/>
      <c r="O33" s="9"/>
      <c r="P33" s="9"/>
      <c r="Q33" s="9"/>
      <c r="R33" s="9"/>
      <c r="S33" s="9"/>
      <c r="T33" s="5"/>
      <c r="U33" s="15"/>
      <c r="V33" s="15"/>
      <c r="W33" s="15"/>
      <c r="X33" s="16"/>
      <c r="Y33" s="16"/>
      <c r="Z33" s="16"/>
      <c r="AA33" s="15"/>
      <c r="AB33" s="15"/>
      <c r="AC33" s="17"/>
      <c r="AD33" s="17"/>
      <c r="AE33" s="15"/>
      <c r="AF33" s="15"/>
      <c r="AG33" s="18"/>
      <c r="AH33" s="7"/>
      <c r="AI33" s="9"/>
      <c r="AJ33" s="15"/>
      <c r="AK33" s="9"/>
      <c r="AL33" s="6"/>
      <c r="AM33" s="15"/>
      <c r="AN33" s="16"/>
      <c r="AO33" s="15"/>
      <c r="AP33" s="16"/>
      <c r="AQ33" s="26"/>
      <c r="AR33" s="16"/>
      <c r="AS33" s="8"/>
    </row>
  </sheetData>
  <phoneticPr fontId="9" type="noConversion"/>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IB Option Paper Trade</vt:lpstr>
      <vt:lpstr>VTS Iron Condor 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Volatility Trading Strategies</dc:creator>
  <cp:lastModifiedBy>謀勇 廖</cp:lastModifiedBy>
  <dcterms:created xsi:type="dcterms:W3CDTF">2022-08-07T13:36:32Z</dcterms:created>
  <dcterms:modified xsi:type="dcterms:W3CDTF">2026-10-27T14:39:37Z</dcterms:modified>
</cp:coreProperties>
</file>