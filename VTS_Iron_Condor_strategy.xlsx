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d0023b5393a4cbf7/文件/私人/Research/槓桿低波策略/Options/"/>
    </mc:Choice>
  </mc:AlternateContent>
  <xr:revisionPtr revIDLastSave="1" documentId="13_ncr:1_{B52C6A47-3491-41B8-A7C0-A1EF4207AA0F}" xr6:coauthVersionLast="47" xr6:coauthVersionMax="47" xr10:uidLastSave="{1A78A769-F22E-40A7-AACE-6114C47962D2}"/>
  <bookViews>
    <workbookView xWindow="15" yWindow="15" windowWidth="21585" windowHeight="13665" xr2:uid="{E5885415-119C-814A-8DF0-43BBE85569FC}"/>
  </bookViews>
  <sheets>
    <sheet name="IB Option Paper Trade" sheetId="2" r:id="rId1"/>
    <sheet name="VTS Iron Condor strategy" sheetId="1" r:id="rId2"/>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N10" i="2" l="1"/>
  <c r="AP10" i="2" s="1"/>
  <c r="AM10" i="2"/>
  <c r="AK10" i="2"/>
  <c r="AG10" i="2"/>
  <c r="AF10" i="2"/>
  <c r="AE10" i="2"/>
  <c r="AD10" i="2"/>
  <c r="AC10" i="2"/>
  <c r="AB10" i="2"/>
  <c r="Z10" i="2"/>
  <c r="W10" i="2"/>
  <c r="V10" i="2"/>
  <c r="AN9" i="2"/>
  <c r="AP9" i="2" s="1"/>
  <c r="AM9" i="2"/>
  <c r="AK9" i="2"/>
  <c r="AG9" i="2"/>
  <c r="AF9" i="2"/>
  <c r="AE9" i="2"/>
  <c r="AD9" i="2"/>
  <c r="AC9" i="2"/>
  <c r="AB9" i="2"/>
  <c r="Z9" i="2"/>
  <c r="W9" i="2"/>
  <c r="V9" i="2"/>
  <c r="AN5" i="2"/>
  <c r="AO5" i="2" s="1"/>
  <c r="AM5" i="2"/>
  <c r="AK5" i="2"/>
  <c r="AG5" i="2"/>
  <c r="AF5" i="2"/>
  <c r="AE5" i="2"/>
  <c r="AD5" i="2"/>
  <c r="AC5" i="2"/>
  <c r="AB5" i="2"/>
  <c r="Z5" i="2"/>
  <c r="W5" i="2"/>
  <c r="V5" i="2"/>
  <c r="AN4" i="2"/>
  <c r="AP4" i="2" s="1"/>
  <c r="AM4" i="2"/>
  <c r="AK4" i="2"/>
  <c r="AG4" i="2"/>
  <c r="AF4" i="2"/>
  <c r="AE4" i="2"/>
  <c r="AD4" i="2"/>
  <c r="AC4" i="2"/>
  <c r="AB4" i="2"/>
  <c r="AA4" i="2"/>
  <c r="Z4" i="2"/>
  <c r="X4" i="2"/>
  <c r="Y4" i="2" s="1"/>
  <c r="W4" i="2"/>
  <c r="V4" i="2"/>
  <c r="AQ5" i="1"/>
  <c r="AQ4" i="1"/>
  <c r="AJ5" i="1"/>
  <c r="AJ4" i="1"/>
  <c r="AJ9" i="1"/>
  <c r="AR10" i="2" l="1"/>
  <c r="AS10" i="2"/>
  <c r="AQ10" i="2"/>
  <c r="AO10" i="2"/>
  <c r="AS9" i="2"/>
  <c r="AR9" i="2"/>
  <c r="AQ9" i="2"/>
  <c r="AO9" i="2"/>
  <c r="AS4" i="2"/>
  <c r="AR4" i="2"/>
  <c r="AQ4" i="2"/>
  <c r="AP5" i="2"/>
  <c r="AO4" i="2"/>
  <c r="AM9" i="1"/>
  <c r="AO9" i="1" s="1"/>
  <c r="AQ9" i="1" s="1"/>
  <c r="AL9" i="1"/>
  <c r="AF9" i="1"/>
  <c r="AE9" i="1"/>
  <c r="AD9" i="1"/>
  <c r="AC9" i="1"/>
  <c r="AB9" i="1"/>
  <c r="AA9" i="1"/>
  <c r="Z9" i="1"/>
  <c r="Y9" i="1"/>
  <c r="W9" i="1"/>
  <c r="X9" i="1" s="1"/>
  <c r="V9" i="1"/>
  <c r="U9" i="1"/>
  <c r="AM5" i="1"/>
  <c r="AL5" i="1"/>
  <c r="AF5" i="1"/>
  <c r="AE5" i="1"/>
  <c r="AD5" i="1"/>
  <c r="AC5" i="1"/>
  <c r="AB5" i="1"/>
  <c r="AA5" i="1"/>
  <c r="Y5" i="1"/>
  <c r="V5" i="1"/>
  <c r="U5" i="1"/>
  <c r="AM4" i="1"/>
  <c r="AO4" i="1" s="1"/>
  <c r="AL4" i="1"/>
  <c r="AF4" i="1"/>
  <c r="AE4" i="1"/>
  <c r="AD4" i="1"/>
  <c r="AC4" i="1"/>
  <c r="AB4" i="1"/>
  <c r="AA4" i="1"/>
  <c r="Z4" i="1"/>
  <c r="Y4" i="1"/>
  <c r="W4" i="1"/>
  <c r="X4" i="1" s="1"/>
  <c r="V4" i="1"/>
  <c r="U4" i="1"/>
  <c r="AS5" i="2" l="1"/>
  <c r="AR5" i="2"/>
  <c r="AQ5" i="2"/>
  <c r="AR9" i="1"/>
  <c r="AP9" i="1"/>
  <c r="AN9" i="1"/>
  <c r="AN5" i="1"/>
  <c r="AR4" i="1"/>
  <c r="AP4" i="1"/>
  <c r="AN4" i="1"/>
  <c r="AO5" i="1"/>
  <c r="AR5" i="1" l="1"/>
  <c r="AP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9D814822-0A3A-4A2A-A6B4-B6A5719600F4}">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7CE9622-A805-47A2-BAC2-389D4CC827F9}">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0E198020-4E13-4512-8972-4DA7F2DEDDD9}">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94D2E3BD-4DB4-4C56-BDBE-C2946CE613E5}">
      <text>
        <r>
          <rPr>
            <b/>
            <sz val="10"/>
            <color rgb="FF000000"/>
            <rFont val="Tahoma"/>
            <family val="2"/>
          </rPr>
          <t>The date your trade was opened.</t>
        </r>
        <r>
          <rPr>
            <sz val="10"/>
            <color rgb="FF000000"/>
            <rFont val="Tahoma"/>
            <family val="2"/>
          </rPr>
          <t xml:space="preserve">
</t>
        </r>
      </text>
    </comment>
    <comment ref="D7" authorId="0" shapeId="0" xr:uid="{D2F891B1-108C-4C3F-B798-1374DD55FC91}">
      <text>
        <r>
          <rPr>
            <b/>
            <sz val="10"/>
            <color rgb="FF000000"/>
            <rFont val="Tahoma"/>
            <family val="2"/>
          </rPr>
          <t>The ticker symbol for the underlying instrument being traded.</t>
        </r>
      </text>
    </comment>
    <comment ref="E7" authorId="0" shapeId="0" xr:uid="{0B0F5CC1-7757-49C9-9EC3-F7C5AF2617BE}">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3D359E4A-E351-4AF0-916E-EDFEAB9651E2}">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047D003C-5C51-48E6-BB54-BAA887600653}">
      <text>
        <r>
          <rPr>
            <b/>
            <sz val="10"/>
            <color rgb="FF000000"/>
            <rFont val="Tahoma"/>
            <family val="2"/>
          </rPr>
          <t>This is the price of the underlying stock or index at the time you opened your trade.</t>
        </r>
      </text>
    </comment>
    <comment ref="H7" authorId="0" shapeId="0" xr:uid="{9125E151-224B-4BB7-9F3A-8AB5591506C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8B05A1EA-E43A-4526-8DD4-3F3BE83C4525}">
      <text>
        <r>
          <rPr>
            <b/>
            <sz val="10"/>
            <color rgb="FF000000"/>
            <rFont val="Tahoma"/>
            <family val="2"/>
          </rPr>
          <t>The expiration date for the distant-month contract (only for Calendars).
Leave the space for Iron Condors.</t>
        </r>
      </text>
    </comment>
    <comment ref="J7" authorId="0" shapeId="0" xr:uid="{4CD305E1-C860-4714-94C0-F4A5D9ABF60E}">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K7" authorId="0" shapeId="0" xr:uid="{34C28669-750D-481D-A3B0-2518CC8F74B6}">
      <text>
        <r>
          <rPr>
            <b/>
            <sz val="10"/>
            <color rgb="FF000000"/>
            <rFont val="Tahoma"/>
            <family val="2"/>
          </rPr>
          <t>The VIX index value at the time you opened your trade.</t>
        </r>
      </text>
    </comment>
    <comment ref="L7" authorId="0" shapeId="0" xr:uid="{4C993F10-0A8B-42C1-9684-52DE0C122C94}">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M7" authorId="0" shapeId="0" xr:uid="{81C004A5-13A7-4212-B764-90F3B8FCB433}">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N7" authorId="0" shapeId="0" xr:uid="{82BCD69D-1E28-41A3-97B7-6E97ED99762B}">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A659FF58-2675-42B4-989A-F4AED97BA17D}">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P7" authorId="0" shapeId="0" xr:uid="{4FA46A78-3C2E-4310-8D5F-FEFC550EF977}">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Q7" authorId="0" shapeId="0" xr:uid="{EE6036B4-05BC-49CE-A677-CCACD17C33B1}">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R7" authorId="0" shapeId="0" xr:uid="{0DD1D602-F7D1-4F43-911D-67D07B9934A3}">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EC68FE36-4D56-4219-88DE-7A57D74D2FD3}">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T7" authorId="0" shapeId="0" xr:uid="{AB1C05BC-7875-476C-989B-B33BCC88B515}">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U7" authorId="0" shapeId="0" xr:uid="{712A1EBC-87A4-42C2-AC05-1B9C1B9D2DB8}">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V7" authorId="0" shapeId="0" xr:uid="{6DC21F5F-F484-48DF-8615-D5B129541065}">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W7" authorId="0" shapeId="0" xr:uid="{831B29CA-EFC3-4503-A853-3FBE63F1AFE5}">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X7" authorId="0" shapeId="0" xr:uid="{E9564960-4D5D-4C9D-8BEE-CF5D7DC06F0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Y7" authorId="0" shapeId="0" xr:uid="{75A82223-A2E5-4696-A1C0-18AB9ABE1084}">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Z7" authorId="0" shapeId="0" xr:uid="{369CA303-B93F-4574-BD0D-B82C35B00447}">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AA7" authorId="0" shapeId="0" xr:uid="{4627D1AE-CE73-49BE-802C-3906B9F5C664}">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B7" authorId="0" shapeId="0" xr:uid="{C5B2A55B-EB20-45A7-9B1C-475D8B9E840D}">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C7" authorId="0" shapeId="0" xr:uid="{5664355A-D057-4DDD-8347-73EB8DAC7F1E}">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D7" authorId="0" shapeId="0" xr:uid="{9E70E910-B8E8-441A-A7CB-BE87505697FF}">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E7" authorId="0" shapeId="0" xr:uid="{8F3AEC79-3EF4-4B73-B239-763914DC86B3}">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F7" authorId="0" shapeId="0" xr:uid="{F14F30D5-D8C3-4AF1-AADC-B28309AF0AFB}">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G7" authorId="0" shapeId="0" xr:uid="{AEA0F864-CF79-4D84-AD45-B229567C340A}">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I7" authorId="0" shapeId="0" xr:uid="{B68832D3-B4E6-4087-9BCA-83A25E6B3CD8}">
      <text>
        <r>
          <rPr>
            <b/>
            <sz val="10"/>
            <color rgb="FF000000"/>
            <rFont val="Tahoma"/>
            <family val="2"/>
          </rPr>
          <t>The date you closed your trade</t>
        </r>
        <r>
          <rPr>
            <sz val="10"/>
            <color rgb="FF000000"/>
            <rFont val="Tahoma"/>
            <family val="2"/>
          </rPr>
          <t>.</t>
        </r>
      </text>
    </comment>
    <comment ref="AJ7" authorId="0" shapeId="0" xr:uid="{1B313849-A0F7-464E-B52E-954F02A52FB0}">
      <text>
        <r>
          <rPr>
            <b/>
            <sz val="10"/>
            <color rgb="FF000000"/>
            <rFont val="Tahoma"/>
            <family val="2"/>
          </rPr>
          <t>The price of the underlying when you closed your trade.</t>
        </r>
      </text>
    </comment>
    <comment ref="AK7" authorId="1" shapeId="0" xr:uid="{5E34C5CD-2397-4916-9FD7-3E06DD5EEF01}">
      <text>
        <r>
          <rPr>
            <b/>
            <sz val="10"/>
            <color rgb="FF000000"/>
            <rFont val="Tahoma"/>
            <family val="2"/>
          </rPr>
          <t>Shows how much the underlying security moved from the day it was opened until closed</t>
        </r>
      </text>
    </comment>
    <comment ref="AL7" authorId="0" shapeId="0" xr:uid="{31D402E3-E4A0-4F3C-92C8-418185773AAE}">
      <text>
        <r>
          <rPr>
            <b/>
            <sz val="10"/>
            <color rgb="FF000000"/>
            <rFont val="Tahoma"/>
            <family val="2"/>
          </rPr>
          <t>The final premium you closed your trade for.</t>
        </r>
      </text>
    </comment>
    <comment ref="AM7" authorId="0" shapeId="0" xr:uid="{5317E72C-4AF4-4937-AE5A-BCCE1B7B87BC}">
      <text>
        <r>
          <rPr>
            <b/>
            <sz val="10"/>
            <color rgb="FF000000"/>
            <rFont val="Tahoma"/>
            <family val="2"/>
          </rPr>
          <t>The number of days this trade was open.</t>
        </r>
      </text>
    </comment>
    <comment ref="AN7" authorId="0" shapeId="0" xr:uid="{ACEE86E5-682F-471C-8DA1-81FEB558DDC4}">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O7" authorId="0" shapeId="0" xr:uid="{70D47F45-19E8-4CBC-A7FF-146A749F1076}">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P7" authorId="0" shapeId="0" xr:uid="{DDD669B4-6543-4BDD-9DD4-6D2D2A0CDD40}">
      <text>
        <r>
          <rPr>
            <b/>
            <sz val="10"/>
            <color rgb="FF000000"/>
            <rFont val="Tahoma"/>
            <family val="2"/>
          </rPr>
          <t>The final trade profit measured in dollars.</t>
        </r>
      </text>
    </comment>
    <comment ref="AQ7" authorId="0" shapeId="0" xr:uid="{F36C1074-E809-46AD-89FC-D87416B6E545}">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R7" authorId="1" shapeId="0" xr:uid="{5B33410A-9288-4277-B2F2-BE7F0F65CE99}">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S7" authorId="0" shapeId="0" xr:uid="{1571A70A-B78B-4FC9-A485-2019B8597AC4}">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T7" authorId="0" shapeId="0" xr:uid="{144F7BC4-2D6B-40FC-8D51-B9C17BE5CCBF}">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664E0E1B-795D-C045-93B8-0C04645C1186}">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611376A-ADBC-9640-9775-51D42CF781A5}">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7D90C64F-2DA7-0C42-85DC-8124B7C2B93B}">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3915E8E4-12BC-4649-AA55-231839A81FC2}">
      <text>
        <r>
          <rPr>
            <b/>
            <sz val="10"/>
            <color rgb="FF000000"/>
            <rFont val="Tahoma"/>
            <family val="2"/>
          </rPr>
          <t>The date your trade was opened.</t>
        </r>
        <r>
          <rPr>
            <sz val="10"/>
            <color rgb="FF000000"/>
            <rFont val="Tahoma"/>
            <family val="2"/>
          </rPr>
          <t xml:space="preserve">
</t>
        </r>
      </text>
    </comment>
    <comment ref="D7" authorId="0" shapeId="0" xr:uid="{EBB5227A-67B0-4E44-938E-E3CE28B529E3}">
      <text>
        <r>
          <rPr>
            <b/>
            <sz val="10"/>
            <color rgb="FF000000"/>
            <rFont val="Tahoma"/>
            <family val="2"/>
          </rPr>
          <t>The ticker symbol for the underlying instrument being traded.</t>
        </r>
      </text>
    </comment>
    <comment ref="E7" authorId="0" shapeId="0" xr:uid="{BF0643F9-A946-0147-997A-C7AE9D590CA9}">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F3865684-1427-1641-96B4-909107DDC458}">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79AC9D2F-1143-F447-97BC-55B5662F04AA}">
      <text>
        <r>
          <rPr>
            <b/>
            <sz val="10"/>
            <color rgb="FF000000"/>
            <rFont val="Tahoma"/>
            <family val="2"/>
          </rPr>
          <t>This is the price of the underlying stock or index at the time you opened your trade.</t>
        </r>
      </text>
    </comment>
    <comment ref="H7" authorId="0" shapeId="0" xr:uid="{B348A230-D20E-AD49-99A7-A790279F6D5B}">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3F8438D0-5FB9-A942-8281-79520A937439}">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045CEB30-7D0A-654B-ACA8-845D9DA65CDA}">
      <text>
        <r>
          <rPr>
            <b/>
            <sz val="10"/>
            <color rgb="FF000000"/>
            <rFont val="Tahoma"/>
            <family val="2"/>
          </rPr>
          <t>The VIX index value at the time you opened your trade.</t>
        </r>
      </text>
    </comment>
    <comment ref="K7" authorId="0" shapeId="0" xr:uid="{77A04DDB-0B38-044E-A1BE-A40D82F01540}">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52B35831-CEB7-0E48-B2E7-9519E31657A2}">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72C81139-7AE6-0A4B-A74C-C0BF2376B80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F8C536A3-CD66-9E47-A084-73CA403BC419}">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CEF9DEA9-0272-E14B-AC59-D534B9980F79}">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BADA4B6A-EC75-B640-A203-C0A892554E7D}">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94147A96-CA55-8A48-9B29-1FD9D562EF9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A324D044-A680-CF42-A727-4A62265627B9}">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0BB29BF3-560F-DC4E-BF45-7E3DE51D1338}">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444A8B36-9B36-7C49-BD38-D0187D8EC997}">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BD928726-1930-D74F-83A9-B95AB4C2702E}">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DB28E4D5-9FA1-0D41-8ADA-70416745AC11}">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A925F8E6-CEFD-A247-AE82-7AD69DA615A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0A164D28-C273-2F4C-887D-797CB5381541}">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9FA1F2BC-B78E-C043-A4C2-460DAD5AB569}">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1DEBB7D2-60C3-F14A-8501-6225C20CE24D}">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21805BFC-3D82-4847-8F44-653F2D5DA1F5}">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C5603CF8-48C4-2C42-81D1-993157F0997F}">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B28B63E1-7C56-7141-B6EF-36222EE08AC5}">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18CF6ACA-C509-6649-99EF-C5F6ED5DD44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6BA0EA66-B5C5-5742-AD45-51B265D4C424}">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6649DFC-500D-7B46-B293-C38147028CEC}">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49231610-E883-3445-8C1C-A28944ED892C}">
      <text>
        <r>
          <rPr>
            <b/>
            <sz val="10"/>
            <color rgb="FF000000"/>
            <rFont val="Tahoma"/>
            <family val="2"/>
          </rPr>
          <t>The date you closed your trade</t>
        </r>
        <r>
          <rPr>
            <sz val="10"/>
            <color rgb="FF000000"/>
            <rFont val="Tahoma"/>
            <family val="2"/>
          </rPr>
          <t>.</t>
        </r>
      </text>
    </comment>
    <comment ref="AI7" authorId="0" shapeId="0" xr:uid="{2E952A00-949C-254E-BA9A-6D9B2CDF4B8D}">
      <text>
        <r>
          <rPr>
            <b/>
            <sz val="10"/>
            <color rgb="FF000000"/>
            <rFont val="Tahoma"/>
            <family val="2"/>
          </rPr>
          <t>The price of the underlying when you closed your trade.</t>
        </r>
      </text>
    </comment>
    <comment ref="AJ7" authorId="1" shapeId="0" xr:uid="{BE8C9B03-2260-8E4E-B7AB-56A8A941C0DF}">
      <text>
        <r>
          <rPr>
            <b/>
            <sz val="10"/>
            <color rgb="FF000000"/>
            <rFont val="Tahoma"/>
            <family val="2"/>
          </rPr>
          <t>Shows how much the underlying security moved from the day it was opened until closed</t>
        </r>
      </text>
    </comment>
    <comment ref="AK7" authorId="0" shapeId="0" xr:uid="{BCEA7D0F-FE6A-E046-A50B-C98461EF6634}">
      <text>
        <r>
          <rPr>
            <b/>
            <sz val="10"/>
            <color rgb="FF000000"/>
            <rFont val="Tahoma"/>
            <family val="2"/>
          </rPr>
          <t>The final premium you closed your trade for.</t>
        </r>
      </text>
    </comment>
    <comment ref="AL7" authorId="0" shapeId="0" xr:uid="{8CC8466D-38AB-FD4B-A065-F9EA5B88BF22}">
      <text>
        <r>
          <rPr>
            <b/>
            <sz val="10"/>
            <color rgb="FF000000"/>
            <rFont val="Tahoma"/>
            <family val="2"/>
          </rPr>
          <t>The number of days this trade was open.</t>
        </r>
      </text>
    </comment>
    <comment ref="AM7" authorId="0" shapeId="0" xr:uid="{531643F6-8722-E947-8065-F890689A8E07}">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4B1F5E95-767C-3546-9792-EF20B1C759E5}">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1DF28F9-FBF8-6143-B68D-92ADD9C8AF44}">
      <text>
        <r>
          <rPr>
            <b/>
            <sz val="10"/>
            <color rgb="FF000000"/>
            <rFont val="Tahoma"/>
            <family val="2"/>
          </rPr>
          <t>The final trade profit measured in dollars.</t>
        </r>
      </text>
    </comment>
    <comment ref="AP7" authorId="0" shapeId="0" xr:uid="{711A3098-A692-9C41-9321-C5F64F93D4EB}">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A3866527-268D-AA41-81CD-99A2500F7596}">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65B99068-421A-3941-B5C6-A42C01D8B82A}">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12AC5495-DBB2-B744-87AC-B5DD88032712}">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 ref="A9" authorId="1" shapeId="0" xr:uid="{EA34CA9B-A1BF-4D41-8789-72FE3D267EBD}">
      <text>
        <r>
          <rPr>
            <b/>
            <sz val="10"/>
            <color rgb="FF000000"/>
            <rFont val="Tahoma"/>
            <family val="2"/>
          </rPr>
          <t>This is a recent live trade opened Jan 18, 2023 and closed Feb 17, 2023</t>
        </r>
      </text>
    </comment>
  </commentList>
</comments>
</file>

<file path=xl/sharedStrings.xml><?xml version="1.0" encoding="utf-8"?>
<sst xmlns="http://schemas.openxmlformats.org/spreadsheetml/2006/main" count="136" uniqueCount="54">
  <si>
    <t>Strategy details</t>
  </si>
  <si>
    <t>Iron Condor</t>
  </si>
  <si>
    <t>~ 0.15</t>
  </si>
  <si>
    <t>Calendar</t>
  </si>
  <si>
    <t>N/A</t>
  </si>
  <si>
    <t>Win / Loss / Open</t>
  </si>
  <si>
    <t>Trade type</t>
  </si>
  <si>
    <t>Open date</t>
  </si>
  <si>
    <t>Ticker</t>
  </si>
  <si>
    <t>Total net liquidation value</t>
  </si>
  <si>
    <t>Available # of trades</t>
  </si>
  <si>
    <t>Open price</t>
  </si>
  <si>
    <t>Expiration date</t>
  </si>
  <si>
    <t>Days to expiration</t>
  </si>
  <si>
    <t>VIX index</t>
  </si>
  <si>
    <t>Current IV percentile</t>
  </si>
  <si>
    <t>VTS Volatility Barometer</t>
  </si>
  <si>
    <t>Target Short Put Delta</t>
  </si>
  <si>
    <t>Target Short Call Delta</t>
  </si>
  <si>
    <t>Long Put strike</t>
  </si>
  <si>
    <t>Short Put strike</t>
  </si>
  <si>
    <t>Short Call strike</t>
  </si>
  <si>
    <t>Long Call strike</t>
  </si>
  <si>
    <t>Open premium</t>
  </si>
  <si>
    <t># of contracts</t>
  </si>
  <si>
    <t>Maximum loss</t>
  </si>
  <si>
    <t>Trade Allocaiton</t>
  </si>
  <si>
    <t>Strike gap</t>
  </si>
  <si>
    <t>Probability of profit</t>
  </si>
  <si>
    <t>Distance to Short Put strike</t>
  </si>
  <si>
    <t>Distance to Short Call strike</t>
  </si>
  <si>
    <t>Target stop-gain premium</t>
  </si>
  <si>
    <t>Target stop-gain $</t>
  </si>
  <si>
    <t>Target stop-loss premium</t>
  </si>
  <si>
    <t>Target stop-loss $</t>
  </si>
  <si>
    <t>Lower 4% movement threshold</t>
  </si>
  <si>
    <t>Higher 4% movement threshold</t>
  </si>
  <si>
    <t>Close date</t>
  </si>
  <si>
    <t>Close price</t>
  </si>
  <si>
    <t>Close premium</t>
  </si>
  <si>
    <t>Days open</t>
  </si>
  <si>
    <t>Trade fees  (TOS)</t>
  </si>
  <si>
    <t>Trade fees as % of maximum loss</t>
  </si>
  <si>
    <t>Trade profit $</t>
  </si>
  <si>
    <t>Return on capital %</t>
  </si>
  <si>
    <t>Return on portfolio %</t>
  </si>
  <si>
    <t>Notes</t>
  </si>
  <si>
    <t>SPY</t>
  </si>
  <si>
    <t>Open to Close price movement</t>
  </si>
  <si>
    <t>Return on strategy allocation %</t>
  </si>
  <si>
    <t>Example</t>
  </si>
  <si>
    <t>SPY</t>
    <phoneticPr fontId="9" type="noConversion"/>
  </si>
  <si>
    <t>Expiration date
(Near-month)</t>
    <phoneticPr fontId="9" type="noConversion"/>
  </si>
  <si>
    <t>Expiration date
(Distant-month)</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</si>
</sst>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0" x14ac:knownFonts="1">
    <font>
      <sz val="12"/>
      <color theme="1"/>
      <name val="新細明體"/>
      <family val="2"/>
      <scheme val="minor"/>
    </font>
    <font>
      <sz val="12"/>
      <color theme="1"/>
      <name val="新細明體"/>
      <family val="2"/>
      <scheme val="minor"/>
    </font>
    <font>
      <sz val="12"/>
      <color theme="1"/>
      <name val="Calibri"/>
      <family val="2"/>
    </font>
    <font>
      <sz val="12"/>
      <color rgb="FFFF0000"/>
      <name val="Calibri"/>
      <family val="2"/>
    </font>
    <font>
      <sz val="12"/>
      <color rgb="FF000000"/>
      <name val="新細明體"/>
      <family val="2"/>
      <scheme val="minor"/>
    </font>
    <font>
      <b/>
      <sz val="10"/>
      <color rgb="FF000000"/>
      <name val="Tahoma"/>
      <family val="2"/>
    </font>
    <font>
      <sz val="10"/>
      <color rgb="FF000000"/>
      <name val="Tahoma"/>
      <family val="2"/>
    </font>
    <font>
      <b/>
      <sz val="10"/>
      <color rgb="FF000000"/>
      <name val="Tahoma"/>
      <family val="34"/>
    </font>
    <font>
      <sz val="10"/>
      <color rgb="FF000000"/>
      <name val="Tahoma"/>
      <family val="34"/>
    </font>
    <font>
      <sz val="9"/>
      <name val="新細明體"/>
      <family val="3"/>
      <charset val="136"/>
      <scheme val="minor"/>
    </font>
  </fonts>
  <fills count="10">
    <fill>
      <patternFill patternType="none"/>
    </fill>
    <fill>
      <patternFill patternType="gray125"/>
    </fill>
    <fill>
      <patternFill patternType="solid">
        <fgColor rgb="FFFFFEE8"/>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D9E1F2"/>
        <bgColor rgb="FF000000"/>
      </patternFill>
    </fill>
    <fill>
      <patternFill patternType="solid">
        <fgColor rgb="FF00FF00"/>
        <bgColor indexed="64"/>
      </patternFill>
    </fill>
    <fill>
      <patternFill patternType="solid">
        <fgColor theme="9" tint="0.79998168889431442"/>
        <bgColor indexed="64"/>
      </patternFill>
    </fill>
    <fill>
      <patternFill patternType="solid">
        <fgColor rgb="FFFFFF00"/>
        <bgColor indexed="64"/>
      </patternFill>
    </fill>
    <fill>
      <patternFill patternType="solid">
        <fgColor rgb="FFFF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0" fillId="2" borderId="1" xfId="0" applyFill="1" applyBorder="1" applyAlignment="1">
      <alignment horizontal="center"/>
    </xf>
    <xf numFmtId="0" fontId="2" fillId="0" borderId="0" xfId="0" applyFont="1"/>
    <xf numFmtId="1" fontId="2" fillId="0" borderId="0" xfId="1" applyNumberFormat="1" applyFont="1"/>
    <xf numFmtId="2" fontId="2" fillId="0" borderId="0" xfId="0" applyNumberFormat="1" applyFont="1"/>
    <xf numFmtId="1" fontId="2" fillId="3" borderId="1" xfId="0" applyNumberFormat="1" applyFont="1" applyFill="1" applyBorder="1" applyAlignment="1">
      <alignment horizontal="center" vertical="center" wrapText="1"/>
    </xf>
    <xf numFmtId="1" fontId="2" fillId="4" borderId="1" xfId="0" applyNumberFormat="1" applyFont="1" applyFill="1" applyBorder="1" applyAlignment="1">
      <alignment horizontal="center" vertical="center" wrapText="1"/>
    </xf>
    <xf numFmtId="15"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2" fontId="2" fillId="3" borderId="1" xfId="0" applyNumberFormat="1" applyFont="1" applyFill="1" applyBorder="1" applyAlignment="1">
      <alignment horizontal="center" vertical="center" wrapText="1"/>
    </xf>
    <xf numFmtId="1" fontId="2" fillId="4" borderId="1" xfId="1" applyNumberFormat="1" applyFont="1" applyFill="1" applyBorder="1" applyAlignment="1">
      <alignment horizontal="center" vertical="center" wrapText="1"/>
    </xf>
    <xf numFmtId="2" fontId="2" fillId="3" borderId="1" xfId="1" applyNumberFormat="1" applyFont="1" applyFill="1" applyBorder="1" applyAlignment="1">
      <alignment horizontal="center" vertical="center" wrapText="1"/>
    </xf>
    <xf numFmtId="9" fontId="2" fillId="3" borderId="1" xfId="1" applyFont="1" applyFill="1" applyBorder="1" applyAlignment="1">
      <alignment horizontal="center" vertical="center" wrapText="1"/>
    </xf>
    <xf numFmtId="10" fontId="2" fillId="3" borderId="1" xfId="1" applyNumberFormat="1" applyFont="1" applyFill="1" applyBorder="1" applyAlignment="1">
      <alignment horizontal="center" vertical="center" wrapText="1"/>
    </xf>
    <xf numFmtId="2" fontId="2" fillId="4" borderId="1" xfId="1" applyNumberFormat="1" applyFont="1" applyFill="1" applyBorder="1" applyAlignment="1">
      <alignment horizontal="center" vertical="center" wrapText="1"/>
    </xf>
    <xf numFmtId="2" fontId="2" fillId="4" borderId="1" xfId="0" applyNumberFormat="1" applyFont="1" applyFill="1" applyBorder="1" applyAlignment="1">
      <alignment horizontal="center" vertical="center" wrapText="1"/>
    </xf>
    <xf numFmtId="10" fontId="2" fillId="4" borderId="1" xfId="1" applyNumberFormat="1" applyFont="1" applyFill="1" applyBorder="1" applyAlignment="1">
      <alignment horizontal="center" vertical="center" wrapText="1"/>
    </xf>
    <xf numFmtId="2" fontId="3" fillId="4"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2" fontId="0" fillId="3" borderId="1" xfId="0" applyNumberForma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1" xfId="0" applyFill="1" applyBorder="1" applyAlignment="1">
      <alignment horizontal="center" vertical="center"/>
    </xf>
    <xf numFmtId="0" fontId="2" fillId="4" borderId="1" xfId="0" applyFont="1" applyFill="1" applyBorder="1" applyAlignment="1">
      <alignment horizontal="center" vertical="center" wrapText="1"/>
    </xf>
    <xf numFmtId="1" fontId="2" fillId="6" borderId="1" xfId="0" applyNumberFormat="1" applyFont="1" applyFill="1" applyBorder="1" applyAlignment="1">
      <alignment horizontal="center" vertical="center" wrapText="1"/>
    </xf>
    <xf numFmtId="10" fontId="2" fillId="7" borderId="1" xfId="1" applyNumberFormat="1" applyFont="1" applyFill="1" applyBorder="1" applyAlignment="1">
      <alignment horizontal="center" vertical="center" wrapText="1"/>
    </xf>
    <xf numFmtId="0" fontId="2" fillId="7" borderId="1" xfId="0" applyFont="1" applyFill="1" applyBorder="1" applyAlignment="1">
      <alignment horizontal="center" vertical="center" wrapText="1"/>
    </xf>
    <xf numFmtId="176" fontId="2" fillId="3" borderId="1" xfId="1" applyNumberFormat="1" applyFont="1" applyFill="1" applyBorder="1" applyAlignment="1">
      <alignment horizontal="center" vertical="center" wrapText="1"/>
    </xf>
    <xf numFmtId="1" fontId="2" fillId="8" borderId="1" xfId="0" applyNumberFormat="1" applyFont="1" applyFill="1" applyBorder="1" applyAlignment="1">
      <alignment horizontal="center" vertical="center" wrapText="1"/>
    </xf>
    <xf numFmtId="1" fontId="2" fillId="9" borderId="1" xfId="0" applyNumberFormat="1" applyFont="1" applyFill="1" applyBorder="1" applyAlignment="1">
      <alignment horizontal="center" vertical="center" wrapText="1"/>
    </xf>
  </cellXfs>
  <cellStyles count="2">
    <cellStyle name="一般" xfId="0" builtinId="0"/>
    <cellStyle name="百分比" xfId="1" builtin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CA0E2-D044-4151-AAE4-A85A59CA4753}">
  <sheetPr>
    <tabColor rgb="FFFFFF00"/>
  </sheetPr>
  <dimension ref="A2:AT33"/>
  <sheetViews>
    <sheetView tabSelected="1" topLeftCell="G1" workbookViewId="0">
      <pane ySplit="7" topLeftCell="A8" activePane="bottomLeft" state="frozen"/>
      <selection pane="bottomLeft" activeCell="K14" sqref="K14"/>
    </sheetView>
  </sheetViews>
  <sheetFormatPr defaultColWidth="10.796875" defaultRowHeight="15.75" x14ac:dyDescent="0.5"/>
  <cols>
    <col min="1" max="5" width="20.796875" style="2" customWidth="1"/>
    <col min="6" max="6" width="20.796875" style="3" customWidth="1"/>
    <col min="7" max="7" width="20.796875" style="2" customWidth="1"/>
    <col min="8" max="8" width="22.73046875" style="2" bestFit="1" customWidth="1"/>
    <col min="9" max="9" width="22.73046875" style="2" customWidth="1"/>
    <col min="10" max="10" width="20.796875" style="2" customWidth="1"/>
    <col min="11" max="11" width="20.796875" style="4" customWidth="1"/>
    <col min="12" max="13" width="20.796875" style="2" customWidth="1"/>
    <col min="14" max="15" width="20.796875" style="4" customWidth="1"/>
    <col min="16" max="45" width="20.796875" style="2" customWidth="1"/>
    <col min="46" max="46" width="166.6640625" style="2" customWidth="1"/>
    <col min="47" max="140" width="20.796875" style="2" customWidth="1"/>
    <col min="141" max="16384" width="10.796875" style="2"/>
  </cols>
  <sheetData>
    <row r="2" spans="1:46" ht="17" customHeight="1" x14ac:dyDescent="0.5">
      <c r="A2" s="1" t="s">
        <v>0</v>
      </c>
    </row>
    <row r="3" spans="1:46" ht="17" customHeight="1" x14ac:dyDescent="0.5"/>
    <row r="4" spans="1:46" ht="17" customHeight="1" x14ac:dyDescent="0.5">
      <c r="A4" s="5"/>
      <c r="B4" s="6" t="s">
        <v>1</v>
      </c>
      <c r="C4" s="7"/>
      <c r="D4" s="8"/>
      <c r="E4" s="9"/>
      <c r="F4" s="10">
        <v>3</v>
      </c>
      <c r="G4" s="9"/>
      <c r="H4" s="7"/>
      <c r="I4" s="7"/>
      <c r="J4" s="5"/>
      <c r="K4" s="11"/>
      <c r="L4" s="12"/>
      <c r="M4" s="13"/>
      <c r="N4" s="14" t="s">
        <v>2</v>
      </c>
      <c r="O4" s="14" t="s">
        <v>2</v>
      </c>
      <c r="P4" s="9"/>
      <c r="Q4" s="9"/>
      <c r="R4" s="9"/>
      <c r="S4" s="9"/>
      <c r="T4" s="9"/>
      <c r="U4" s="5"/>
      <c r="V4" s="15">
        <f>((S4-R4)-T4)*(U4*100)</f>
        <v>0</v>
      </c>
      <c r="W4" s="15">
        <f>E4*0.03</f>
        <v>0</v>
      </c>
      <c r="X4" s="15">
        <f>(S4-R4)</f>
        <v>0</v>
      </c>
      <c r="Y4" s="16" t="e">
        <f>(X4-T4)/X4</f>
        <v>#DIV/0!</v>
      </c>
      <c r="Z4" s="16" t="e">
        <f>(Q4-G4)/G4</f>
        <v>#DIV/0!</v>
      </c>
      <c r="AA4" s="16" t="e">
        <f>(R4-G4)/G4</f>
        <v>#DIV/0!</v>
      </c>
      <c r="AB4" s="15">
        <f>T4*0.5</f>
        <v>0</v>
      </c>
      <c r="AC4" s="15">
        <f>(T4*0.5)*(U4*100)</f>
        <v>0</v>
      </c>
      <c r="AD4" s="17">
        <f>T4*1.5</f>
        <v>0</v>
      </c>
      <c r="AE4" s="17">
        <f>-((T4/2)*(U4*100))</f>
        <v>0</v>
      </c>
      <c r="AF4" s="15">
        <f>G4*0.96</f>
        <v>0</v>
      </c>
      <c r="AG4" s="15">
        <f>G4*1.04</f>
        <v>0</v>
      </c>
      <c r="AH4" s="18"/>
      <c r="AI4" s="7"/>
      <c r="AJ4" s="9"/>
      <c r="AK4" s="16" t="e">
        <f>(AJ4-G4)/G4</f>
        <v>#DIV/0!</v>
      </c>
      <c r="AL4" s="9"/>
      <c r="AM4" s="6">
        <f>AI4-C4</f>
        <v>0</v>
      </c>
      <c r="AN4" s="15">
        <f>((U4*4)*2)*0.65</f>
        <v>0</v>
      </c>
      <c r="AO4" s="16" t="e">
        <f>AN4/V4</f>
        <v>#DIV/0!</v>
      </c>
      <c r="AP4" s="15">
        <f>((T4-AL4)*(U4*100))-AN4</f>
        <v>0</v>
      </c>
      <c r="AQ4" s="16" t="e">
        <f>AP4/V4</f>
        <v>#DIV/0!</v>
      </c>
      <c r="AR4" s="26" t="e">
        <f>AP4/(E4*0.2)</f>
        <v>#DIV/0!</v>
      </c>
      <c r="AS4" s="16" t="e">
        <f>AP4/E4</f>
        <v>#DIV/0!</v>
      </c>
      <c r="AT4" s="8"/>
    </row>
    <row r="5" spans="1:46" ht="17" customHeight="1" x14ac:dyDescent="0.5">
      <c r="A5" s="5"/>
      <c r="B5" s="6" t="s">
        <v>3</v>
      </c>
      <c r="C5" s="7"/>
      <c r="D5" s="8"/>
      <c r="E5" s="9"/>
      <c r="F5" s="10">
        <v>3</v>
      </c>
      <c r="G5" s="9"/>
      <c r="H5" s="7"/>
      <c r="I5" s="7"/>
      <c r="J5" s="5"/>
      <c r="K5" s="11"/>
      <c r="L5" s="12"/>
      <c r="M5" s="13"/>
      <c r="N5" s="14" t="s">
        <v>4</v>
      </c>
      <c r="O5" s="14" t="s">
        <v>4</v>
      </c>
      <c r="P5" s="9"/>
      <c r="Q5" s="9"/>
      <c r="R5" s="15" t="s">
        <v>4</v>
      </c>
      <c r="S5" s="15" t="s">
        <v>4</v>
      </c>
      <c r="T5" s="9"/>
      <c r="U5" s="5"/>
      <c r="V5" s="15">
        <f>T5*(U5*100)</f>
        <v>0</v>
      </c>
      <c r="W5" s="15">
        <f>E5*0.02</f>
        <v>0</v>
      </c>
      <c r="X5" s="15" t="s">
        <v>4</v>
      </c>
      <c r="Y5" s="16" t="s">
        <v>4</v>
      </c>
      <c r="Z5" s="16" t="e">
        <f>(G5-Q5)/G5</f>
        <v>#DIV/0!</v>
      </c>
      <c r="AA5" s="16" t="s">
        <v>4</v>
      </c>
      <c r="AB5" s="15">
        <f>T5*1.25</f>
        <v>0</v>
      </c>
      <c r="AC5" s="15">
        <f>(T5*0.25)*(U5*100)</f>
        <v>0</v>
      </c>
      <c r="AD5" s="17">
        <f>T5*0.75</f>
        <v>0</v>
      </c>
      <c r="AE5" s="17">
        <f>-((T5*0.25)*(U5*100))</f>
        <v>0</v>
      </c>
      <c r="AF5" s="15">
        <f>G5*0.96</f>
        <v>0</v>
      </c>
      <c r="AG5" s="15">
        <f>G5*1.04</f>
        <v>0</v>
      </c>
      <c r="AH5" s="18"/>
      <c r="AI5" s="7"/>
      <c r="AJ5" s="9"/>
      <c r="AK5" s="16" t="e">
        <f>(AJ5-G5)/G5</f>
        <v>#DIV/0!</v>
      </c>
      <c r="AL5" s="9"/>
      <c r="AM5" s="6">
        <f>AI5-C5</f>
        <v>0</v>
      </c>
      <c r="AN5" s="15">
        <f>((U5*2)*2)*0.65</f>
        <v>0</v>
      </c>
      <c r="AO5" s="16" t="e">
        <f>AN5/V5</f>
        <v>#DIV/0!</v>
      </c>
      <c r="AP5" s="15">
        <f>((AL5-T5)*(U5*100))-AN5</f>
        <v>0</v>
      </c>
      <c r="AQ5" s="16" t="e">
        <f>AP5/V5</f>
        <v>#DIV/0!</v>
      </c>
      <c r="AR5" s="26" t="e">
        <f>AP5/(E5*0.2)</f>
        <v>#DIV/0!</v>
      </c>
      <c r="AS5" s="16" t="e">
        <f>AP5/E5</f>
        <v>#DIV/0!</v>
      </c>
      <c r="AT5" s="8"/>
    </row>
    <row r="6" spans="1:46" ht="17" customHeight="1" x14ac:dyDescent="0.5"/>
    <row r="7" spans="1:46" ht="50" customHeight="1" x14ac:dyDescent="0.5">
      <c r="A7" s="19" t="s">
        <v>5</v>
      </c>
      <c r="B7" s="20" t="s">
        <v>6</v>
      </c>
      <c r="C7" s="19" t="s">
        <v>7</v>
      </c>
      <c r="D7" s="19" t="s">
        <v>8</v>
      </c>
      <c r="E7" s="19" t="s">
        <v>9</v>
      </c>
      <c r="F7" s="20" t="s">
        <v>10</v>
      </c>
      <c r="G7" s="19" t="s">
        <v>11</v>
      </c>
      <c r="H7" s="19" t="s">
        <v>52</v>
      </c>
      <c r="I7" s="19" t="s">
        <v>53</v>
      </c>
      <c r="J7" s="19" t="s">
        <v>13</v>
      </c>
      <c r="K7" s="21" t="s">
        <v>14</v>
      </c>
      <c r="L7" s="12" t="s">
        <v>15</v>
      </c>
      <c r="M7" s="21" t="s">
        <v>16</v>
      </c>
      <c r="N7" s="15" t="s">
        <v>17</v>
      </c>
      <c r="O7" s="15" t="s">
        <v>18</v>
      </c>
      <c r="P7" s="8" t="s">
        <v>19</v>
      </c>
      <c r="Q7" s="22" t="s">
        <v>20</v>
      </c>
      <c r="R7" s="8" t="s">
        <v>21</v>
      </c>
      <c r="S7" s="8" t="s">
        <v>22</v>
      </c>
      <c r="T7" s="19" t="s">
        <v>23</v>
      </c>
      <c r="U7" s="19" t="s">
        <v>24</v>
      </c>
      <c r="V7" s="20" t="s">
        <v>25</v>
      </c>
      <c r="W7" s="20" t="s">
        <v>26</v>
      </c>
      <c r="X7" s="23" t="s">
        <v>27</v>
      </c>
      <c r="Y7" s="24" t="s">
        <v>28</v>
      </c>
      <c r="Z7" s="24" t="s">
        <v>29</v>
      </c>
      <c r="AA7" s="24" t="s">
        <v>30</v>
      </c>
      <c r="AB7" s="20" t="s">
        <v>31</v>
      </c>
      <c r="AC7" s="20" t="s">
        <v>32</v>
      </c>
      <c r="AD7" s="20" t="s">
        <v>33</v>
      </c>
      <c r="AE7" s="20" t="s">
        <v>34</v>
      </c>
      <c r="AF7" s="24" t="s">
        <v>35</v>
      </c>
      <c r="AG7" s="24" t="s">
        <v>36</v>
      </c>
      <c r="AH7" s="18"/>
      <c r="AI7" s="8" t="s">
        <v>37</v>
      </c>
      <c r="AJ7" s="8" t="s">
        <v>38</v>
      </c>
      <c r="AK7" s="24" t="s">
        <v>48</v>
      </c>
      <c r="AL7" s="8" t="s">
        <v>39</v>
      </c>
      <c r="AM7" s="24" t="s">
        <v>40</v>
      </c>
      <c r="AN7" s="24" t="s">
        <v>41</v>
      </c>
      <c r="AO7" s="24" t="s">
        <v>42</v>
      </c>
      <c r="AP7" s="24" t="s">
        <v>43</v>
      </c>
      <c r="AQ7" s="24" t="s">
        <v>44</v>
      </c>
      <c r="AR7" s="27" t="s">
        <v>49</v>
      </c>
      <c r="AS7" s="24" t="s">
        <v>45</v>
      </c>
      <c r="AT7" s="8" t="s">
        <v>46</v>
      </c>
    </row>
    <row r="8" spans="1:46" ht="17" customHeight="1" x14ac:dyDescent="0.5"/>
    <row r="9" spans="1:46" ht="17" customHeight="1" x14ac:dyDescent="0.5">
      <c r="A9" s="30"/>
      <c r="B9" s="6" t="s">
        <v>3</v>
      </c>
      <c r="C9" s="7">
        <v>46261</v>
      </c>
      <c r="D9" s="8" t="s">
        <v>51</v>
      </c>
      <c r="E9" s="9">
        <v>1150566.8</v>
      </c>
      <c r="F9" s="10">
        <v>3</v>
      </c>
      <c r="G9" s="9">
        <v>770.33</v>
      </c>
      <c r="H9" s="7">
        <v>46283</v>
      </c>
      <c r="I9" s="7">
        <v>46311</v>
      </c>
      <c r="J9" s="5">
        <v>22</v>
      </c>
      <c r="K9" s="11">
        <v>14.51</v>
      </c>
      <c r="L9" s="28">
        <v>0.05</v>
      </c>
      <c r="M9" s="13">
        <v>0.14399999999999999</v>
      </c>
      <c r="N9" s="14" t="s">
        <v>4</v>
      </c>
      <c r="O9" s="14" t="s">
        <v>4</v>
      </c>
      <c r="P9" s="9">
        <v>770</v>
      </c>
      <c r="Q9" s="9">
        <v>770</v>
      </c>
      <c r="R9" s="15" t="s">
        <v>4</v>
      </c>
      <c r="S9" s="15" t="s">
        <v>4</v>
      </c>
      <c r="T9" s="9">
        <v>4.9400000000000004</v>
      </c>
      <c r="U9" s="5">
        <v>46</v>
      </c>
      <c r="V9" s="15">
        <f>T9*(U9*100)</f>
        <v>22724</v>
      </c>
      <c r="W9" s="15">
        <f>E9*0.02</f>
        <v>23011.336000000003</v>
      </c>
      <c r="X9" s="15" t="s">
        <v>4</v>
      </c>
      <c r="Y9" s="16" t="s">
        <v>4</v>
      </c>
      <c r="Z9" s="16">
        <f>(G9-Q9)/G9</f>
        <v>4.2838783378557359E-4</v>
      </c>
      <c r="AA9" s="16" t="s">
        <v>4</v>
      </c>
      <c r="AB9" s="15">
        <f>T9*1.25</f>
        <v>6.1750000000000007</v>
      </c>
      <c r="AC9" s="15">
        <f>(T9*0.25)*(U9*100)</f>
        <v>5681</v>
      </c>
      <c r="AD9" s="17">
        <f>T9*0.75</f>
        <v>3.7050000000000001</v>
      </c>
      <c r="AE9" s="17">
        <f>-((T9*0.25)*(U9*100))</f>
        <v>-5681</v>
      </c>
      <c r="AF9" s="15">
        <f>G9*0.96</f>
        <v>739.51679999999999</v>
      </c>
      <c r="AG9" s="15">
        <f>G9*1.04</f>
        <v>801.14320000000009</v>
      </c>
      <c r="AH9" s="18"/>
      <c r="AI9" s="7">
        <v>46281</v>
      </c>
      <c r="AJ9" s="9">
        <v>754.05</v>
      </c>
      <c r="AK9" s="16">
        <f>(AJ9-G9)/G9</f>
        <v>-2.1133799800085788E-2</v>
      </c>
      <c r="AL9" s="9">
        <v>3.8</v>
      </c>
      <c r="AM9" s="6">
        <f>AI9-C9</f>
        <v>20</v>
      </c>
      <c r="AN9" s="15">
        <f>((U9*2)*2)*0.65</f>
        <v>119.60000000000001</v>
      </c>
      <c r="AO9" s="16">
        <f>AN9/V9</f>
        <v>5.2631578947368429E-3</v>
      </c>
      <c r="AP9" s="15">
        <f>((AL9-T9)*(U9*100))-AN9</f>
        <v>-5363.6000000000031</v>
      </c>
      <c r="AQ9" s="16">
        <f>AP9/V9</f>
        <v>-0.23603238866396775</v>
      </c>
      <c r="AR9" s="26">
        <f>AP9/(E9*0.2)</f>
        <v>-2.3308511943852382E-2</v>
      </c>
      <c r="AS9" s="16">
        <f>AP9/E9</f>
        <v>-4.6617023887704761E-3</v>
      </c>
      <c r="AT9" s="8"/>
    </row>
    <row r="10" spans="1:46" ht="17" customHeight="1" x14ac:dyDescent="0.5">
      <c r="A10" s="29"/>
      <c r="B10" s="6" t="s">
        <v>3</v>
      </c>
      <c r="C10" s="7">
        <v>46295</v>
      </c>
      <c r="D10" s="8" t="s">
        <v>51</v>
      </c>
      <c r="E10" s="9">
        <v>1146721</v>
      </c>
      <c r="F10" s="10">
        <v>3</v>
      </c>
      <c r="G10" s="9">
        <v>768.03</v>
      </c>
      <c r="H10" s="7">
        <v>46346</v>
      </c>
      <c r="I10" s="7">
        <v>46374</v>
      </c>
      <c r="J10" s="5">
        <v>51</v>
      </c>
      <c r="K10" s="11">
        <v>15.77</v>
      </c>
      <c r="L10" s="12">
        <v>0.28000000000000003</v>
      </c>
      <c r="M10" s="13">
        <v>0.37559999999999999</v>
      </c>
      <c r="N10" s="14" t="s">
        <v>4</v>
      </c>
      <c r="O10" s="14" t="s">
        <v>4</v>
      </c>
      <c r="P10" s="9">
        <v>768</v>
      </c>
      <c r="Q10" s="9">
        <v>768</v>
      </c>
      <c r="R10" s="15" t="s">
        <v>4</v>
      </c>
      <c r="S10" s="15" t="s">
        <v>4</v>
      </c>
      <c r="T10" s="9">
        <v>3.78</v>
      </c>
      <c r="U10" s="5">
        <v>60</v>
      </c>
      <c r="V10" s="15">
        <f>T10*(U10*100)</f>
        <v>22680</v>
      </c>
      <c r="W10" s="15">
        <f>E10*0.02</f>
        <v>22934.420000000002</v>
      </c>
      <c r="X10" s="15" t="s">
        <v>4</v>
      </c>
      <c r="Y10" s="16" t="s">
        <v>4</v>
      </c>
      <c r="Z10" s="16">
        <f>(G10-Q10)/G10</f>
        <v>3.906097418066054E-5</v>
      </c>
      <c r="AA10" s="16" t="s">
        <v>4</v>
      </c>
      <c r="AB10" s="15">
        <f>T10*1.25</f>
        <v>4.7249999999999996</v>
      </c>
      <c r="AC10" s="15">
        <f>(T10*0.25)*(U10*100)</f>
        <v>5670</v>
      </c>
      <c r="AD10" s="17">
        <f>T10*0.75</f>
        <v>2.835</v>
      </c>
      <c r="AE10" s="17">
        <f>-((T10*0.25)*(U10*100))</f>
        <v>-5670</v>
      </c>
      <c r="AF10" s="15">
        <f>G10*0.96</f>
        <v>737.30879999999991</v>
      </c>
      <c r="AG10" s="15">
        <f>G10*1.04</f>
        <v>798.75120000000004</v>
      </c>
      <c r="AH10" s="18"/>
      <c r="AI10" s="7"/>
      <c r="AJ10" s="9"/>
      <c r="AK10" s="16">
        <f>(AJ10-G10)/G10</f>
        <v>-1</v>
      </c>
      <c r="AL10" s="9"/>
      <c r="AM10" s="6">
        <f>AI10-C10</f>
        <v>-46295</v>
      </c>
      <c r="AN10" s="15">
        <f>((U10*2)*2)*0.65</f>
        <v>156</v>
      </c>
      <c r="AO10" s="16">
        <f>AN10/V10</f>
        <v>6.8783068783068784E-3</v>
      </c>
      <c r="AP10" s="15">
        <f>((AL10-T10)*(U10*100))-AN10</f>
        <v>-22836</v>
      </c>
      <c r="AQ10" s="16">
        <f>AP10/V10</f>
        <v>-1.0068783068783069</v>
      </c>
      <c r="AR10" s="26">
        <f>AP10/(E10*0.2)</f>
        <v>-9.9570863357346731E-2</v>
      </c>
      <c r="AS10" s="16">
        <f>AP10/E10</f>
        <v>-1.9914172671469346E-2</v>
      </c>
      <c r="AT10" s="8"/>
    </row>
    <row r="11" spans="1:46" ht="17" customHeight="1" x14ac:dyDescent="0.5">
      <c r="A11" s="5"/>
      <c r="B11" s="6"/>
      <c r="C11" s="7"/>
      <c r="D11" s="8"/>
      <c r="E11" s="9"/>
      <c r="F11" s="10"/>
      <c r="G11" s="9"/>
      <c r="H11" s="7"/>
      <c r="I11" s="7"/>
      <c r="J11" s="5"/>
      <c r="K11" s="11"/>
      <c r="L11" s="12"/>
      <c r="M11" s="13"/>
      <c r="N11" s="14"/>
      <c r="O11" s="14"/>
      <c r="P11" s="9"/>
      <c r="Q11" s="9"/>
      <c r="R11" s="9"/>
      <c r="S11" s="9"/>
      <c r="T11" s="9"/>
      <c r="U11" s="5"/>
      <c r="V11" s="15"/>
      <c r="W11" s="15"/>
      <c r="X11" s="15"/>
      <c r="Y11" s="16"/>
      <c r="Z11" s="16"/>
      <c r="AA11" s="16"/>
      <c r="AB11" s="15"/>
      <c r="AC11" s="15"/>
      <c r="AD11" s="17"/>
      <c r="AE11" s="17"/>
      <c r="AF11" s="15"/>
      <c r="AG11" s="15"/>
      <c r="AH11" s="18"/>
      <c r="AI11" s="7"/>
      <c r="AJ11" s="9"/>
      <c r="AK11" s="15"/>
      <c r="AL11" s="9"/>
      <c r="AM11" s="6"/>
      <c r="AN11" s="15"/>
      <c r="AO11" s="16"/>
      <c r="AP11" s="15"/>
      <c r="AQ11" s="16"/>
      <c r="AR11" s="26"/>
      <c r="AS11" s="16"/>
      <c r="AT11" s="8"/>
    </row>
    <row r="12" spans="1:46" ht="17" customHeight="1" x14ac:dyDescent="0.5">
      <c r="A12" s="5"/>
      <c r="B12" s="6"/>
      <c r="C12" s="7"/>
      <c r="D12" s="8"/>
      <c r="E12" s="9"/>
      <c r="F12" s="10"/>
      <c r="G12" s="9"/>
      <c r="H12" s="7"/>
      <c r="I12" s="7"/>
      <c r="J12" s="5"/>
      <c r="K12" s="11"/>
      <c r="L12" s="12"/>
      <c r="M12" s="13"/>
      <c r="N12" s="14"/>
      <c r="O12" s="14"/>
      <c r="P12" s="9"/>
      <c r="Q12" s="9"/>
      <c r="R12" s="9"/>
      <c r="S12" s="9"/>
      <c r="T12" s="9"/>
      <c r="U12" s="5"/>
      <c r="V12" s="15"/>
      <c r="W12" s="15"/>
      <c r="X12" s="15"/>
      <c r="Y12" s="16"/>
      <c r="Z12" s="16"/>
      <c r="AA12" s="16"/>
      <c r="AB12" s="15"/>
      <c r="AC12" s="15"/>
      <c r="AD12" s="17"/>
      <c r="AE12" s="17"/>
      <c r="AF12" s="15"/>
      <c r="AG12" s="15"/>
      <c r="AH12" s="18"/>
      <c r="AI12" s="7"/>
      <c r="AJ12" s="9"/>
      <c r="AK12" s="15"/>
      <c r="AL12" s="9"/>
      <c r="AM12" s="6"/>
      <c r="AN12" s="15"/>
      <c r="AO12" s="16"/>
      <c r="AP12" s="15"/>
      <c r="AQ12" s="16"/>
      <c r="AR12" s="26"/>
      <c r="AS12" s="16"/>
      <c r="AT12" s="8"/>
    </row>
    <row r="13" spans="1:46" ht="17" customHeight="1" x14ac:dyDescent="0.5">
      <c r="A13" s="5"/>
      <c r="B13" s="6"/>
      <c r="C13" s="7"/>
      <c r="D13" s="8"/>
      <c r="E13" s="9"/>
      <c r="F13" s="10"/>
      <c r="G13" s="9"/>
      <c r="H13" s="7"/>
      <c r="I13" s="7"/>
      <c r="J13" s="5"/>
      <c r="K13" s="11"/>
      <c r="L13" s="12"/>
      <c r="M13" s="13"/>
      <c r="N13" s="14"/>
      <c r="O13" s="14"/>
      <c r="P13" s="9"/>
      <c r="Q13" s="9"/>
      <c r="R13" s="9"/>
      <c r="S13" s="9"/>
      <c r="T13" s="9"/>
      <c r="U13" s="5"/>
      <c r="V13" s="15"/>
      <c r="W13" s="15"/>
      <c r="X13" s="15"/>
      <c r="Y13" s="16"/>
      <c r="Z13" s="16"/>
      <c r="AA13" s="16"/>
      <c r="AB13" s="15"/>
      <c r="AC13" s="15"/>
      <c r="AD13" s="17"/>
      <c r="AE13" s="17"/>
      <c r="AF13" s="15"/>
      <c r="AG13" s="15"/>
      <c r="AH13" s="18"/>
      <c r="AI13" s="7"/>
      <c r="AJ13" s="9"/>
      <c r="AK13" s="15"/>
      <c r="AL13" s="9"/>
      <c r="AM13" s="6"/>
      <c r="AN13" s="15"/>
      <c r="AO13" s="16"/>
      <c r="AP13" s="15"/>
      <c r="AQ13" s="16"/>
      <c r="AR13" s="26"/>
      <c r="AS13" s="16"/>
      <c r="AT13" s="8"/>
    </row>
    <row r="14" spans="1:46" ht="17" customHeight="1" x14ac:dyDescent="0.5">
      <c r="A14" s="5"/>
      <c r="B14" s="6"/>
      <c r="C14" s="7"/>
      <c r="D14" s="8"/>
      <c r="E14" s="9"/>
      <c r="F14" s="10"/>
      <c r="G14" s="9"/>
      <c r="H14" s="7"/>
      <c r="I14" s="7"/>
      <c r="J14" s="5"/>
      <c r="K14" s="11"/>
      <c r="L14" s="12"/>
      <c r="M14" s="13"/>
      <c r="N14" s="14"/>
      <c r="O14" s="14"/>
      <c r="P14" s="9"/>
      <c r="Q14" s="9"/>
      <c r="R14" s="9"/>
      <c r="S14" s="9"/>
      <c r="T14" s="9"/>
      <c r="U14" s="5"/>
      <c r="V14" s="15"/>
      <c r="W14" s="15"/>
      <c r="X14" s="15"/>
      <c r="Y14" s="16"/>
      <c r="Z14" s="16"/>
      <c r="AA14" s="16"/>
      <c r="AB14" s="15"/>
      <c r="AC14" s="15"/>
      <c r="AD14" s="17"/>
      <c r="AE14" s="17"/>
      <c r="AF14" s="15"/>
      <c r="AG14" s="15"/>
      <c r="AH14" s="18"/>
      <c r="AI14" s="7"/>
      <c r="AJ14" s="9"/>
      <c r="AK14" s="15"/>
      <c r="AL14" s="9"/>
      <c r="AM14" s="6"/>
      <c r="AN14" s="15"/>
      <c r="AO14" s="16"/>
      <c r="AP14" s="15"/>
      <c r="AQ14" s="16"/>
      <c r="AR14" s="26"/>
      <c r="AS14" s="16"/>
      <c r="AT14" s="8"/>
    </row>
    <row r="15" spans="1:46" ht="17" customHeight="1" x14ac:dyDescent="0.5">
      <c r="A15" s="5"/>
      <c r="B15" s="6"/>
      <c r="C15" s="7"/>
      <c r="D15" s="8"/>
      <c r="E15" s="9"/>
      <c r="F15" s="10"/>
      <c r="G15" s="9"/>
      <c r="H15" s="7"/>
      <c r="I15" s="7"/>
      <c r="J15" s="5"/>
      <c r="K15" s="11"/>
      <c r="L15" s="12"/>
      <c r="M15" s="13"/>
      <c r="N15" s="14"/>
      <c r="O15" s="14"/>
      <c r="P15" s="9"/>
      <c r="Q15" s="9"/>
      <c r="R15" s="9"/>
      <c r="S15" s="9"/>
      <c r="T15" s="9"/>
      <c r="U15" s="5"/>
      <c r="V15" s="15"/>
      <c r="W15" s="15"/>
      <c r="X15" s="15"/>
      <c r="Y15" s="16"/>
      <c r="Z15" s="16"/>
      <c r="AA15" s="16"/>
      <c r="AB15" s="15"/>
      <c r="AC15" s="15"/>
      <c r="AD15" s="17"/>
      <c r="AE15" s="17"/>
      <c r="AF15" s="15"/>
      <c r="AG15" s="15"/>
      <c r="AH15" s="18"/>
      <c r="AI15" s="7"/>
      <c r="AJ15" s="9"/>
      <c r="AK15" s="15"/>
      <c r="AL15" s="9"/>
      <c r="AM15" s="6"/>
      <c r="AN15" s="15"/>
      <c r="AO15" s="16"/>
      <c r="AP15" s="15"/>
      <c r="AQ15" s="16"/>
      <c r="AR15" s="26"/>
      <c r="AS15" s="16"/>
      <c r="AT15" s="8"/>
    </row>
    <row r="16" spans="1:46" ht="17" customHeight="1" x14ac:dyDescent="0.5">
      <c r="A16" s="5"/>
      <c r="B16" s="6"/>
      <c r="C16" s="7"/>
      <c r="D16" s="8"/>
      <c r="E16" s="9"/>
      <c r="F16" s="10"/>
      <c r="G16" s="9"/>
      <c r="H16" s="7"/>
      <c r="I16" s="7"/>
      <c r="J16" s="5"/>
      <c r="K16" s="11"/>
      <c r="L16" s="12"/>
      <c r="M16" s="13"/>
      <c r="N16" s="14"/>
      <c r="O16" s="14"/>
      <c r="P16" s="9"/>
      <c r="Q16" s="9"/>
      <c r="R16" s="9"/>
      <c r="S16" s="9"/>
      <c r="T16" s="9"/>
      <c r="U16" s="5"/>
      <c r="V16" s="15"/>
      <c r="W16" s="15"/>
      <c r="X16" s="15"/>
      <c r="Y16" s="16"/>
      <c r="Z16" s="16"/>
      <c r="AA16" s="16"/>
      <c r="AB16" s="15"/>
      <c r="AC16" s="15"/>
      <c r="AD16" s="17"/>
      <c r="AE16" s="17"/>
      <c r="AF16" s="15"/>
      <c r="AG16" s="15"/>
      <c r="AH16" s="18"/>
      <c r="AI16" s="7"/>
      <c r="AJ16" s="9"/>
      <c r="AK16" s="15"/>
      <c r="AL16" s="9"/>
      <c r="AM16" s="6"/>
      <c r="AN16" s="15"/>
      <c r="AO16" s="16"/>
      <c r="AP16" s="15"/>
      <c r="AQ16" s="16"/>
      <c r="AR16" s="26"/>
      <c r="AS16" s="16"/>
      <c r="AT16" s="8"/>
    </row>
    <row r="17" spans="1:46" ht="17" customHeight="1" x14ac:dyDescent="0.5">
      <c r="A17" s="5"/>
      <c r="B17" s="6"/>
      <c r="C17" s="7"/>
      <c r="D17" s="8"/>
      <c r="E17" s="9"/>
      <c r="F17" s="10"/>
      <c r="G17" s="9"/>
      <c r="H17" s="7"/>
      <c r="I17" s="7"/>
      <c r="J17" s="5"/>
      <c r="K17" s="11"/>
      <c r="L17" s="12"/>
      <c r="M17" s="13"/>
      <c r="N17" s="14"/>
      <c r="O17" s="14"/>
      <c r="P17" s="9"/>
      <c r="Q17" s="9"/>
      <c r="R17" s="9"/>
      <c r="S17" s="9"/>
      <c r="T17" s="9"/>
      <c r="U17" s="5"/>
      <c r="V17" s="15"/>
      <c r="W17" s="15"/>
      <c r="X17" s="15"/>
      <c r="Y17" s="16"/>
      <c r="Z17" s="16"/>
      <c r="AA17" s="16"/>
      <c r="AB17" s="15"/>
      <c r="AC17" s="15"/>
      <c r="AD17" s="17"/>
      <c r="AE17" s="17"/>
      <c r="AF17" s="15"/>
      <c r="AG17" s="15"/>
      <c r="AH17" s="18"/>
      <c r="AI17" s="7"/>
      <c r="AJ17" s="9"/>
      <c r="AK17" s="15"/>
      <c r="AL17" s="9"/>
      <c r="AM17" s="6"/>
      <c r="AN17" s="15"/>
      <c r="AO17" s="16"/>
      <c r="AP17" s="15"/>
      <c r="AQ17" s="16"/>
      <c r="AR17" s="26"/>
      <c r="AS17" s="16"/>
      <c r="AT17" s="8"/>
    </row>
    <row r="18" spans="1:46" ht="17" customHeight="1" x14ac:dyDescent="0.5">
      <c r="A18" s="5"/>
      <c r="B18" s="6"/>
      <c r="C18" s="7"/>
      <c r="D18" s="8"/>
      <c r="E18" s="9"/>
      <c r="F18" s="10"/>
      <c r="G18" s="9"/>
      <c r="H18" s="7"/>
      <c r="I18" s="7"/>
      <c r="J18" s="5"/>
      <c r="K18" s="11"/>
      <c r="L18" s="12"/>
      <c r="M18" s="13"/>
      <c r="N18" s="14"/>
      <c r="O18" s="14"/>
      <c r="P18" s="9"/>
      <c r="Q18" s="9"/>
      <c r="R18" s="9"/>
      <c r="S18" s="9"/>
      <c r="T18" s="9"/>
      <c r="U18" s="5"/>
      <c r="V18" s="15"/>
      <c r="W18" s="15"/>
      <c r="X18" s="15"/>
      <c r="Y18" s="16"/>
      <c r="Z18" s="16"/>
      <c r="AA18" s="16"/>
      <c r="AB18" s="15"/>
      <c r="AC18" s="15"/>
      <c r="AD18" s="17"/>
      <c r="AE18" s="17"/>
      <c r="AF18" s="15"/>
      <c r="AG18" s="15"/>
      <c r="AH18" s="18"/>
      <c r="AI18" s="7"/>
      <c r="AJ18" s="9"/>
      <c r="AK18" s="15"/>
      <c r="AL18" s="9"/>
      <c r="AM18" s="6"/>
      <c r="AN18" s="15"/>
      <c r="AO18" s="16"/>
      <c r="AP18" s="15"/>
      <c r="AQ18" s="16"/>
      <c r="AR18" s="26"/>
      <c r="AS18" s="16"/>
      <c r="AT18" s="8"/>
    </row>
    <row r="19" spans="1:46" ht="17" customHeight="1" x14ac:dyDescent="0.5">
      <c r="A19" s="5"/>
      <c r="B19" s="6"/>
      <c r="C19" s="7"/>
      <c r="D19" s="8"/>
      <c r="E19" s="9"/>
      <c r="F19" s="10"/>
      <c r="G19" s="9"/>
      <c r="H19" s="7"/>
      <c r="I19" s="7"/>
      <c r="J19" s="5"/>
      <c r="K19" s="11"/>
      <c r="L19" s="12"/>
      <c r="M19" s="13"/>
      <c r="N19" s="14"/>
      <c r="O19" s="14"/>
      <c r="P19" s="9"/>
      <c r="Q19" s="9"/>
      <c r="R19" s="9"/>
      <c r="S19" s="9"/>
      <c r="T19" s="9"/>
      <c r="U19" s="5"/>
      <c r="V19" s="15"/>
      <c r="W19" s="15"/>
      <c r="X19" s="15"/>
      <c r="Y19" s="16"/>
      <c r="Z19" s="16"/>
      <c r="AA19" s="16"/>
      <c r="AB19" s="15"/>
      <c r="AC19" s="15"/>
      <c r="AD19" s="17"/>
      <c r="AE19" s="17"/>
      <c r="AF19" s="15"/>
      <c r="AG19" s="15"/>
      <c r="AH19" s="18"/>
      <c r="AI19" s="7"/>
      <c r="AJ19" s="9"/>
      <c r="AK19" s="15"/>
      <c r="AL19" s="9"/>
      <c r="AM19" s="6"/>
      <c r="AN19" s="15"/>
      <c r="AO19" s="16"/>
      <c r="AP19" s="15"/>
      <c r="AQ19" s="16"/>
      <c r="AR19" s="26"/>
      <c r="AS19" s="16"/>
      <c r="AT19" s="8"/>
    </row>
    <row r="20" spans="1:46" ht="17" customHeight="1" x14ac:dyDescent="0.5">
      <c r="A20" s="5"/>
      <c r="B20" s="6"/>
      <c r="C20" s="7"/>
      <c r="D20" s="8"/>
      <c r="E20" s="9"/>
      <c r="F20" s="10"/>
      <c r="G20" s="9"/>
      <c r="H20" s="7"/>
      <c r="I20" s="7"/>
      <c r="J20" s="5"/>
      <c r="K20" s="11"/>
      <c r="L20" s="12"/>
      <c r="M20" s="13"/>
      <c r="N20" s="14"/>
      <c r="O20" s="14"/>
      <c r="P20" s="9"/>
      <c r="Q20" s="9"/>
      <c r="R20" s="9"/>
      <c r="S20" s="9"/>
      <c r="T20" s="9"/>
      <c r="U20" s="5"/>
      <c r="V20" s="15"/>
      <c r="W20" s="15"/>
      <c r="X20" s="15"/>
      <c r="Y20" s="16"/>
      <c r="Z20" s="16"/>
      <c r="AA20" s="16"/>
      <c r="AB20" s="15"/>
      <c r="AC20" s="15"/>
      <c r="AD20" s="17"/>
      <c r="AE20" s="17"/>
      <c r="AF20" s="15"/>
      <c r="AG20" s="15"/>
      <c r="AH20" s="18"/>
      <c r="AI20" s="7"/>
      <c r="AJ20" s="9"/>
      <c r="AK20" s="15"/>
      <c r="AL20" s="9"/>
      <c r="AM20" s="6"/>
      <c r="AN20" s="15"/>
      <c r="AO20" s="16"/>
      <c r="AP20" s="15"/>
      <c r="AQ20" s="16"/>
      <c r="AR20" s="26"/>
      <c r="AS20" s="16"/>
      <c r="AT20" s="8"/>
    </row>
    <row r="21" spans="1:46" ht="17" customHeight="1" x14ac:dyDescent="0.5">
      <c r="A21" s="5"/>
      <c r="B21" s="6"/>
      <c r="C21" s="7"/>
      <c r="D21" s="8"/>
      <c r="E21" s="9"/>
      <c r="F21" s="10"/>
      <c r="G21" s="9"/>
      <c r="H21" s="7"/>
      <c r="I21" s="7"/>
      <c r="J21" s="5"/>
      <c r="K21" s="11"/>
      <c r="L21" s="12"/>
      <c r="M21" s="13"/>
      <c r="N21" s="14"/>
      <c r="O21" s="14"/>
      <c r="P21" s="9"/>
      <c r="Q21" s="9"/>
      <c r="R21" s="9"/>
      <c r="S21" s="9"/>
      <c r="T21" s="9"/>
      <c r="U21" s="5"/>
      <c r="V21" s="15"/>
      <c r="W21" s="15"/>
      <c r="X21" s="15"/>
      <c r="Y21" s="16"/>
      <c r="Z21" s="16"/>
      <c r="AA21" s="16"/>
      <c r="AB21" s="15"/>
      <c r="AC21" s="15"/>
      <c r="AD21" s="17"/>
      <c r="AE21" s="17"/>
      <c r="AF21" s="15"/>
      <c r="AG21" s="15"/>
      <c r="AH21" s="18"/>
      <c r="AI21" s="7"/>
      <c r="AJ21" s="9"/>
      <c r="AK21" s="15"/>
      <c r="AL21" s="9"/>
      <c r="AM21" s="6"/>
      <c r="AN21" s="15"/>
      <c r="AO21" s="16"/>
      <c r="AP21" s="15"/>
      <c r="AQ21" s="16"/>
      <c r="AR21" s="26"/>
      <c r="AS21" s="16"/>
      <c r="AT21" s="8"/>
    </row>
    <row r="22" spans="1:46" ht="17" customHeight="1" x14ac:dyDescent="0.5">
      <c r="A22" s="5"/>
      <c r="B22" s="6"/>
      <c r="C22" s="7"/>
      <c r="D22" s="8"/>
      <c r="E22" s="9"/>
      <c r="F22" s="10"/>
      <c r="G22" s="9"/>
      <c r="H22" s="7"/>
      <c r="I22" s="7"/>
      <c r="J22" s="5"/>
      <c r="K22" s="11"/>
      <c r="L22" s="12"/>
      <c r="M22" s="13"/>
      <c r="N22" s="14"/>
      <c r="O22" s="14"/>
      <c r="P22" s="9"/>
      <c r="Q22" s="9"/>
      <c r="R22" s="9"/>
      <c r="S22" s="9"/>
      <c r="T22" s="9"/>
      <c r="U22" s="5"/>
      <c r="V22" s="15"/>
      <c r="W22" s="15"/>
      <c r="X22" s="15"/>
      <c r="Y22" s="16"/>
      <c r="Z22" s="16"/>
      <c r="AA22" s="16"/>
      <c r="AB22" s="15"/>
      <c r="AC22" s="15"/>
      <c r="AD22" s="17"/>
      <c r="AE22" s="17"/>
      <c r="AF22" s="15"/>
      <c r="AG22" s="15"/>
      <c r="AH22" s="18"/>
      <c r="AI22" s="7"/>
      <c r="AJ22" s="9"/>
      <c r="AK22" s="15"/>
      <c r="AL22" s="9"/>
      <c r="AM22" s="6"/>
      <c r="AN22" s="15"/>
      <c r="AO22" s="16"/>
      <c r="AP22" s="15"/>
      <c r="AQ22" s="16"/>
      <c r="AR22" s="26"/>
      <c r="AS22" s="16"/>
      <c r="AT22" s="8"/>
    </row>
    <row r="23" spans="1:46" ht="17" customHeight="1" x14ac:dyDescent="0.5">
      <c r="A23" s="5"/>
      <c r="B23" s="6"/>
      <c r="C23" s="7"/>
      <c r="D23" s="8"/>
      <c r="E23" s="9"/>
      <c r="F23" s="10"/>
      <c r="G23" s="9"/>
      <c r="H23" s="7"/>
      <c r="I23" s="7"/>
      <c r="J23" s="5"/>
      <c r="K23" s="11"/>
      <c r="L23" s="12"/>
      <c r="M23" s="13"/>
      <c r="N23" s="14"/>
      <c r="O23" s="14"/>
      <c r="P23" s="9"/>
      <c r="Q23" s="9"/>
      <c r="R23" s="9"/>
      <c r="S23" s="9"/>
      <c r="T23" s="9"/>
      <c r="U23" s="5"/>
      <c r="V23" s="15"/>
      <c r="W23" s="15"/>
      <c r="X23" s="15"/>
      <c r="Y23" s="16"/>
      <c r="Z23" s="16"/>
      <c r="AA23" s="16"/>
      <c r="AB23" s="15"/>
      <c r="AC23" s="15"/>
      <c r="AD23" s="17"/>
      <c r="AE23" s="17"/>
      <c r="AF23" s="15"/>
      <c r="AG23" s="15"/>
      <c r="AH23" s="18"/>
      <c r="AI23" s="7"/>
      <c r="AJ23" s="9"/>
      <c r="AK23" s="15"/>
      <c r="AL23" s="9"/>
      <c r="AM23" s="6"/>
      <c r="AN23" s="15"/>
      <c r="AO23" s="16"/>
      <c r="AP23" s="15"/>
      <c r="AQ23" s="16"/>
      <c r="AR23" s="26"/>
      <c r="AS23" s="16"/>
      <c r="AT23" s="8"/>
    </row>
    <row r="24" spans="1:46" ht="17" customHeight="1" x14ac:dyDescent="0.5">
      <c r="A24" s="5"/>
      <c r="B24" s="6"/>
      <c r="C24" s="7"/>
      <c r="D24" s="8"/>
      <c r="E24" s="9"/>
      <c r="F24" s="10"/>
      <c r="G24" s="9"/>
      <c r="H24" s="7"/>
      <c r="I24" s="7"/>
      <c r="J24" s="5"/>
      <c r="K24" s="11"/>
      <c r="L24" s="12"/>
      <c r="M24" s="13"/>
      <c r="N24" s="14"/>
      <c r="O24" s="14"/>
      <c r="P24" s="9"/>
      <c r="Q24" s="9"/>
      <c r="R24" s="9"/>
      <c r="S24" s="9"/>
      <c r="T24" s="9"/>
      <c r="U24" s="5"/>
      <c r="V24" s="15"/>
      <c r="W24" s="15"/>
      <c r="X24" s="15"/>
      <c r="Y24" s="16"/>
      <c r="Z24" s="16"/>
      <c r="AA24" s="16"/>
      <c r="AB24" s="15"/>
      <c r="AC24" s="15"/>
      <c r="AD24" s="17"/>
      <c r="AE24" s="17"/>
      <c r="AF24" s="15"/>
      <c r="AG24" s="15"/>
      <c r="AH24" s="18"/>
      <c r="AI24" s="7"/>
      <c r="AJ24" s="9"/>
      <c r="AK24" s="15"/>
      <c r="AL24" s="9"/>
      <c r="AM24" s="6"/>
      <c r="AN24" s="15"/>
      <c r="AO24" s="16"/>
      <c r="AP24" s="15"/>
      <c r="AQ24" s="16"/>
      <c r="AR24" s="26"/>
      <c r="AS24" s="16"/>
      <c r="AT24" s="8"/>
    </row>
    <row r="25" spans="1:46" ht="17" customHeight="1" x14ac:dyDescent="0.5">
      <c r="A25" s="5"/>
      <c r="B25" s="6"/>
      <c r="C25" s="7"/>
      <c r="D25" s="8"/>
      <c r="E25" s="9"/>
      <c r="F25" s="10"/>
      <c r="G25" s="9"/>
      <c r="H25" s="7"/>
      <c r="I25" s="7"/>
      <c r="J25" s="5"/>
      <c r="K25" s="11"/>
      <c r="L25" s="12"/>
      <c r="M25" s="13"/>
      <c r="N25" s="14"/>
      <c r="O25" s="14"/>
      <c r="P25" s="9"/>
      <c r="Q25" s="9"/>
      <c r="R25" s="9"/>
      <c r="S25" s="9"/>
      <c r="T25" s="9"/>
      <c r="U25" s="5"/>
      <c r="V25" s="15"/>
      <c r="W25" s="15"/>
      <c r="X25" s="15"/>
      <c r="Y25" s="16"/>
      <c r="Z25" s="16"/>
      <c r="AA25" s="16"/>
      <c r="AB25" s="15"/>
      <c r="AC25" s="15"/>
      <c r="AD25" s="17"/>
      <c r="AE25" s="17"/>
      <c r="AF25" s="15"/>
      <c r="AG25" s="15"/>
      <c r="AH25" s="18"/>
      <c r="AI25" s="7"/>
      <c r="AJ25" s="9"/>
      <c r="AK25" s="15"/>
      <c r="AL25" s="9"/>
      <c r="AM25" s="6"/>
      <c r="AN25" s="15"/>
      <c r="AO25" s="16"/>
      <c r="AP25" s="15"/>
      <c r="AQ25" s="16"/>
      <c r="AR25" s="26"/>
      <c r="AS25" s="16"/>
      <c r="AT25" s="8"/>
    </row>
    <row r="26" spans="1:46" ht="17" customHeight="1" x14ac:dyDescent="0.5">
      <c r="A26" s="5"/>
      <c r="B26" s="6"/>
      <c r="C26" s="7"/>
      <c r="D26" s="8"/>
      <c r="E26" s="9"/>
      <c r="F26" s="10"/>
      <c r="G26" s="9"/>
      <c r="H26" s="7"/>
      <c r="I26" s="7"/>
      <c r="J26" s="5"/>
      <c r="K26" s="11"/>
      <c r="L26" s="12"/>
      <c r="M26" s="13"/>
      <c r="N26" s="14"/>
      <c r="O26" s="14"/>
      <c r="P26" s="9"/>
      <c r="Q26" s="9"/>
      <c r="R26" s="9"/>
      <c r="S26" s="9"/>
      <c r="T26" s="9"/>
      <c r="U26" s="5"/>
      <c r="V26" s="15"/>
      <c r="W26" s="15"/>
      <c r="X26" s="15"/>
      <c r="Y26" s="16"/>
      <c r="Z26" s="16"/>
      <c r="AA26" s="16"/>
      <c r="AB26" s="15"/>
      <c r="AC26" s="15"/>
      <c r="AD26" s="17"/>
      <c r="AE26" s="17"/>
      <c r="AF26" s="15"/>
      <c r="AG26" s="15"/>
      <c r="AH26" s="18"/>
      <c r="AI26" s="7"/>
      <c r="AJ26" s="9"/>
      <c r="AK26" s="15"/>
      <c r="AL26" s="9"/>
      <c r="AM26" s="6"/>
      <c r="AN26" s="15"/>
      <c r="AO26" s="16"/>
      <c r="AP26" s="15"/>
      <c r="AQ26" s="16"/>
      <c r="AR26" s="26"/>
      <c r="AS26" s="16"/>
      <c r="AT26" s="8"/>
    </row>
    <row r="27" spans="1:46" ht="17" customHeight="1" x14ac:dyDescent="0.5">
      <c r="A27" s="5"/>
      <c r="B27" s="6"/>
      <c r="C27" s="7"/>
      <c r="D27" s="8"/>
      <c r="E27" s="9"/>
      <c r="F27" s="10"/>
      <c r="G27" s="9"/>
      <c r="H27" s="7"/>
      <c r="I27" s="7"/>
      <c r="J27" s="5"/>
      <c r="K27" s="11"/>
      <c r="L27" s="12"/>
      <c r="M27" s="13"/>
      <c r="N27" s="14"/>
      <c r="O27" s="14"/>
      <c r="P27" s="9"/>
      <c r="Q27" s="9"/>
      <c r="R27" s="9"/>
      <c r="S27" s="9"/>
      <c r="T27" s="9"/>
      <c r="U27" s="5"/>
      <c r="V27" s="15"/>
      <c r="W27" s="15"/>
      <c r="X27" s="15"/>
      <c r="Y27" s="16"/>
      <c r="Z27" s="16"/>
      <c r="AA27" s="16"/>
      <c r="AB27" s="15"/>
      <c r="AC27" s="15"/>
      <c r="AD27" s="17"/>
      <c r="AE27" s="17"/>
      <c r="AF27" s="15"/>
      <c r="AG27" s="15"/>
      <c r="AH27" s="18"/>
      <c r="AI27" s="7"/>
      <c r="AJ27" s="9"/>
      <c r="AK27" s="15"/>
      <c r="AL27" s="9"/>
      <c r="AM27" s="6"/>
      <c r="AN27" s="15"/>
      <c r="AO27" s="16"/>
      <c r="AP27" s="15"/>
      <c r="AQ27" s="16"/>
      <c r="AR27" s="26"/>
      <c r="AS27" s="16"/>
      <c r="AT27" s="8"/>
    </row>
    <row r="28" spans="1:46" ht="17" customHeight="1" x14ac:dyDescent="0.5">
      <c r="A28" s="5"/>
      <c r="B28" s="6"/>
      <c r="C28" s="7"/>
      <c r="D28" s="8"/>
      <c r="E28" s="9"/>
      <c r="F28" s="10"/>
      <c r="G28" s="9"/>
      <c r="H28" s="7"/>
      <c r="I28" s="7"/>
      <c r="J28" s="5"/>
      <c r="K28" s="11"/>
      <c r="L28" s="12"/>
      <c r="M28" s="13"/>
      <c r="N28" s="14"/>
      <c r="O28" s="14"/>
      <c r="P28" s="9"/>
      <c r="Q28" s="9"/>
      <c r="R28" s="9"/>
      <c r="S28" s="9"/>
      <c r="T28" s="9"/>
      <c r="U28" s="5"/>
      <c r="V28" s="15"/>
      <c r="W28" s="15"/>
      <c r="X28" s="15"/>
      <c r="Y28" s="16"/>
      <c r="Z28" s="16"/>
      <c r="AA28" s="16"/>
      <c r="AB28" s="15"/>
      <c r="AC28" s="15"/>
      <c r="AD28" s="17"/>
      <c r="AE28" s="17"/>
      <c r="AF28" s="15"/>
      <c r="AG28" s="15"/>
      <c r="AH28" s="18"/>
      <c r="AI28" s="7"/>
      <c r="AJ28" s="9"/>
      <c r="AK28" s="15"/>
      <c r="AL28" s="9"/>
      <c r="AM28" s="6"/>
      <c r="AN28" s="15"/>
      <c r="AO28" s="16"/>
      <c r="AP28" s="15"/>
      <c r="AQ28" s="16"/>
      <c r="AR28" s="26"/>
      <c r="AS28" s="16"/>
      <c r="AT28" s="8"/>
    </row>
    <row r="29" spans="1:46" ht="17" customHeight="1" x14ac:dyDescent="0.5">
      <c r="A29" s="5"/>
      <c r="B29" s="6"/>
      <c r="C29" s="7"/>
      <c r="D29" s="8"/>
      <c r="E29" s="9"/>
      <c r="F29" s="10"/>
      <c r="G29" s="9"/>
      <c r="H29" s="7"/>
      <c r="I29" s="7"/>
      <c r="J29" s="5"/>
      <c r="K29" s="11"/>
      <c r="L29" s="12"/>
      <c r="M29" s="13"/>
      <c r="N29" s="14"/>
      <c r="O29" s="14"/>
      <c r="P29" s="9"/>
      <c r="Q29" s="9"/>
      <c r="R29" s="9"/>
      <c r="S29" s="9"/>
      <c r="T29" s="9"/>
      <c r="U29" s="5"/>
      <c r="V29" s="15"/>
      <c r="W29" s="15"/>
      <c r="X29" s="15"/>
      <c r="Y29" s="16"/>
      <c r="Z29" s="16"/>
      <c r="AA29" s="16"/>
      <c r="AB29" s="15"/>
      <c r="AC29" s="15"/>
      <c r="AD29" s="17"/>
      <c r="AE29" s="17"/>
      <c r="AF29" s="15"/>
      <c r="AG29" s="15"/>
      <c r="AH29" s="18"/>
      <c r="AI29" s="7"/>
      <c r="AJ29" s="9"/>
      <c r="AK29" s="15"/>
      <c r="AL29" s="9"/>
      <c r="AM29" s="6"/>
      <c r="AN29" s="15"/>
      <c r="AO29" s="16"/>
      <c r="AP29" s="15"/>
      <c r="AQ29" s="16"/>
      <c r="AR29" s="26"/>
      <c r="AS29" s="16"/>
      <c r="AT29" s="8"/>
    </row>
    <row r="30" spans="1:46" ht="17" customHeight="1" x14ac:dyDescent="0.5">
      <c r="A30" s="5"/>
      <c r="B30" s="6"/>
      <c r="C30" s="7"/>
      <c r="D30" s="8"/>
      <c r="E30" s="9"/>
      <c r="F30" s="10"/>
      <c r="G30" s="9"/>
      <c r="H30" s="7"/>
      <c r="I30" s="7"/>
      <c r="J30" s="5"/>
      <c r="K30" s="11"/>
      <c r="L30" s="12"/>
      <c r="M30" s="13"/>
      <c r="N30" s="14"/>
      <c r="O30" s="14"/>
      <c r="P30" s="9"/>
      <c r="Q30" s="9"/>
      <c r="R30" s="9"/>
      <c r="S30" s="9"/>
      <c r="T30" s="9"/>
      <c r="U30" s="5"/>
      <c r="V30" s="15"/>
      <c r="W30" s="15"/>
      <c r="X30" s="15"/>
      <c r="Y30" s="16"/>
      <c r="Z30" s="16"/>
      <c r="AA30" s="16"/>
      <c r="AB30" s="15"/>
      <c r="AC30" s="15"/>
      <c r="AD30" s="17"/>
      <c r="AE30" s="17"/>
      <c r="AF30" s="15"/>
      <c r="AG30" s="15"/>
      <c r="AH30" s="18"/>
      <c r="AI30" s="7"/>
      <c r="AJ30" s="9"/>
      <c r="AK30" s="15"/>
      <c r="AL30" s="9"/>
      <c r="AM30" s="6"/>
      <c r="AN30" s="15"/>
      <c r="AO30" s="16"/>
      <c r="AP30" s="15"/>
      <c r="AQ30" s="16"/>
      <c r="AR30" s="26"/>
      <c r="AS30" s="16"/>
      <c r="AT30" s="8"/>
    </row>
    <row r="31" spans="1:46" ht="17" customHeight="1" x14ac:dyDescent="0.5">
      <c r="A31" s="5"/>
      <c r="B31" s="6"/>
      <c r="C31" s="7"/>
      <c r="D31" s="8"/>
      <c r="E31" s="9"/>
      <c r="F31" s="10"/>
      <c r="G31" s="9"/>
      <c r="H31" s="7"/>
      <c r="I31" s="7"/>
      <c r="J31" s="5"/>
      <c r="K31" s="11"/>
      <c r="L31" s="12"/>
      <c r="M31" s="13"/>
      <c r="N31" s="14"/>
      <c r="O31" s="14"/>
      <c r="P31" s="9"/>
      <c r="Q31" s="9"/>
      <c r="R31" s="9"/>
      <c r="S31" s="9"/>
      <c r="T31" s="9"/>
      <c r="U31" s="5"/>
      <c r="V31" s="15"/>
      <c r="W31" s="15"/>
      <c r="X31" s="15"/>
      <c r="Y31" s="16"/>
      <c r="Z31" s="16"/>
      <c r="AA31" s="16"/>
      <c r="AB31" s="15"/>
      <c r="AC31" s="15"/>
      <c r="AD31" s="17"/>
      <c r="AE31" s="17"/>
      <c r="AF31" s="15"/>
      <c r="AG31" s="15"/>
      <c r="AH31" s="18"/>
      <c r="AI31" s="7"/>
      <c r="AJ31" s="9"/>
      <c r="AK31" s="15"/>
      <c r="AL31" s="9"/>
      <c r="AM31" s="6"/>
      <c r="AN31" s="15"/>
      <c r="AO31" s="16"/>
      <c r="AP31" s="15"/>
      <c r="AQ31" s="16"/>
      <c r="AR31" s="26"/>
      <c r="AS31" s="16"/>
      <c r="AT31" s="8"/>
    </row>
    <row r="32" spans="1:46" ht="17" customHeight="1" x14ac:dyDescent="0.5">
      <c r="A32" s="5"/>
      <c r="B32" s="6"/>
      <c r="C32" s="7"/>
      <c r="D32" s="8"/>
      <c r="E32" s="9"/>
      <c r="F32" s="10"/>
      <c r="G32" s="9"/>
      <c r="H32" s="7"/>
      <c r="I32" s="7"/>
      <c r="J32" s="5"/>
      <c r="K32" s="11"/>
      <c r="L32" s="12"/>
      <c r="M32" s="13"/>
      <c r="N32" s="14"/>
      <c r="O32" s="14"/>
      <c r="P32" s="9"/>
      <c r="Q32" s="9"/>
      <c r="R32" s="9"/>
      <c r="S32" s="9"/>
      <c r="T32" s="9"/>
      <c r="U32" s="5"/>
      <c r="V32" s="15"/>
      <c r="W32" s="15"/>
      <c r="X32" s="15"/>
      <c r="Y32" s="16"/>
      <c r="Z32" s="16"/>
      <c r="AA32" s="16"/>
      <c r="AB32" s="15"/>
      <c r="AC32" s="15"/>
      <c r="AD32" s="17"/>
      <c r="AE32" s="17"/>
      <c r="AF32" s="15"/>
      <c r="AG32" s="15"/>
      <c r="AH32" s="18"/>
      <c r="AI32" s="7"/>
      <c r="AJ32" s="9"/>
      <c r="AK32" s="15"/>
      <c r="AL32" s="9"/>
      <c r="AM32" s="6"/>
      <c r="AN32" s="15"/>
      <c r="AO32" s="16"/>
      <c r="AP32" s="15"/>
      <c r="AQ32" s="16"/>
      <c r="AR32" s="26"/>
      <c r="AS32" s="16"/>
      <c r="AT32" s="8"/>
    </row>
    <row r="33" spans="1:46" ht="17" customHeight="1" x14ac:dyDescent="0.5">
      <c r="A33" s="5"/>
      <c r="B33" s="6"/>
      <c r="C33" s="7"/>
      <c r="D33" s="8"/>
      <c r="E33" s="9"/>
      <c r="F33" s="10"/>
      <c r="G33" s="9"/>
      <c r="H33" s="7"/>
      <c r="I33" s="7"/>
      <c r="J33" s="5"/>
      <c r="K33" s="11"/>
      <c r="L33" s="12"/>
      <c r="M33" s="13"/>
      <c r="N33" s="14"/>
      <c r="O33" s="14"/>
      <c r="P33" s="9"/>
      <c r="Q33" s="9"/>
      <c r="R33" s="9"/>
      <c r="S33" s="9"/>
      <c r="T33" s="9"/>
      <c r="U33" s="5"/>
      <c r="V33" s="15"/>
      <c r="W33" s="15"/>
      <c r="X33" s="15"/>
      <c r="Y33" s="16"/>
      <c r="Z33" s="16"/>
      <c r="AA33" s="16"/>
      <c r="AB33" s="15"/>
      <c r="AC33" s="15"/>
      <c r="AD33" s="17"/>
      <c r="AE33" s="17"/>
      <c r="AF33" s="15"/>
      <c r="AG33" s="15"/>
      <c r="AH33" s="18"/>
      <c r="AI33" s="7"/>
      <c r="AJ33" s="9"/>
      <c r="AK33" s="15"/>
      <c r="AL33" s="9"/>
      <c r="AM33" s="6"/>
      <c r="AN33" s="15"/>
      <c r="AO33" s="16"/>
      <c r="AP33" s="15"/>
      <c r="AQ33" s="16"/>
      <c r="AR33" s="26"/>
      <c r="AS33" s="16"/>
      <c r="AT33" s="8"/>
    </row>
  </sheetData>
  <phoneticPr fontId="9" type="noConversion"/>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A0631-B717-7C4A-850E-24B3B039142E}">
  <sheetPr>
    <tabColor rgb="FFFFFF00"/>
  </sheetPr>
  <dimension ref="A2:AS33"/>
  <sheetViews>
    <sheetView topLeftCell="P1" workbookViewId="0">
      <pane ySplit="7" topLeftCell="A8" activePane="bottomLeft" state="frozen"/>
      <selection pane="bottomLeft" activeCell="A10" sqref="A10:XFD10"/>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25" t="s">
        <v>50</v>
      </c>
      <c r="B9" s="6" t="s">
        <v>1</v>
      </c>
      <c r="C9" s="7">
        <v>44944</v>
      </c>
      <c r="D9" s="8" t="s">
        <v>47</v>
      </c>
      <c r="E9" s="9">
        <v>274395.3</v>
      </c>
      <c r="F9" s="10">
        <v>3</v>
      </c>
      <c r="G9" s="9">
        <v>393.12</v>
      </c>
      <c r="H9" s="7">
        <v>45002</v>
      </c>
      <c r="I9" s="5">
        <v>58</v>
      </c>
      <c r="J9" s="11">
        <v>20.34</v>
      </c>
      <c r="K9" s="12">
        <v>0.28000000000000003</v>
      </c>
      <c r="L9" s="13">
        <v>0.48559999999999998</v>
      </c>
      <c r="M9" s="14" t="s">
        <v>2</v>
      </c>
      <c r="N9" s="14" t="s">
        <v>2</v>
      </c>
      <c r="O9" s="9">
        <v>365</v>
      </c>
      <c r="P9" s="9">
        <v>370</v>
      </c>
      <c r="Q9" s="9">
        <v>435</v>
      </c>
      <c r="R9" s="9">
        <v>440</v>
      </c>
      <c r="S9" s="9">
        <v>1.2</v>
      </c>
      <c r="T9" s="5">
        <v>21</v>
      </c>
      <c r="U9" s="15">
        <f>((R9-Q9)-S9)*(T9*100)</f>
        <v>7980</v>
      </c>
      <c r="V9" s="15">
        <f>E9*0.03</f>
        <v>8231.8589999999986</v>
      </c>
      <c r="W9" s="15">
        <f>(R9-Q9)</f>
        <v>5</v>
      </c>
      <c r="X9" s="16">
        <f>(W9-S9)/W9</f>
        <v>0.76</v>
      </c>
      <c r="Y9" s="16">
        <f>(P9-G9)/G9</f>
        <v>-5.881155881155882E-2</v>
      </c>
      <c r="Z9" s="16">
        <f>(Q9-G9)/G9</f>
        <v>0.10653235653235651</v>
      </c>
      <c r="AA9" s="15">
        <f>S9*0.5</f>
        <v>0.6</v>
      </c>
      <c r="AB9" s="15">
        <f>(S9*0.5)*(T9*100)</f>
        <v>1260</v>
      </c>
      <c r="AC9" s="17">
        <f>S9*1.5</f>
        <v>1.7999999999999998</v>
      </c>
      <c r="AD9" s="17">
        <f>-((S9/2)*(T9*100))</f>
        <v>-1260</v>
      </c>
      <c r="AE9" s="15">
        <f>G9*0.96</f>
        <v>377.39519999999999</v>
      </c>
      <c r="AF9" s="15">
        <f>G9*1.04</f>
        <v>408.84480000000002</v>
      </c>
      <c r="AG9" s="18"/>
      <c r="AH9" s="7">
        <v>44974</v>
      </c>
      <c r="AI9" s="9">
        <v>407.08</v>
      </c>
      <c r="AJ9" s="16">
        <f>(AI9-G9)/G9</f>
        <v>3.5510785510785459E-2</v>
      </c>
      <c r="AK9" s="9">
        <v>0.63</v>
      </c>
      <c r="AL9" s="6">
        <f>AH9-C9</f>
        <v>30</v>
      </c>
      <c r="AM9" s="15">
        <f>((T9*4)*2)*0.65</f>
        <v>109.2</v>
      </c>
      <c r="AN9" s="16">
        <f>AM9/U9</f>
        <v>1.368421052631579E-2</v>
      </c>
      <c r="AO9" s="15">
        <f>((S9-AK9)*(T9*100))-AM9</f>
        <v>1087.8</v>
      </c>
      <c r="AP9" s="16">
        <f>AO9/U9</f>
        <v>0.1363157894736842</v>
      </c>
      <c r="AQ9" s="26">
        <f>AO9/(E9*0.2)</f>
        <v>1.9821768084220103E-2</v>
      </c>
      <c r="AR9" s="16">
        <f>AO9/E9</f>
        <v>3.9643536168440206E-3</v>
      </c>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IB Option Paper Trade</vt:lpstr>
      <vt:lpstr>VTS Iron Condor strategy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Volatility Trading Strategies</dc:creator>
  <cp:lastModifiedBy>謀勇 廖</cp:lastModifiedBy>
  <dcterms:created xsi:type="dcterms:W3CDTF">2022-08-07T13:36:32Z</dcterms:created>
  <dcterms:modified xsi:type="dcterms:W3CDTF">2026-10-25T13:29:14Z</dcterms:modified>
</cp:coreProperties>
</file>